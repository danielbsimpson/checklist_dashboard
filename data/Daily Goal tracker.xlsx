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ov2022" sheetId="1" r:id="rId5"/>
    <sheet state="hidden" name="Dec2022" sheetId="2" r:id="rId6"/>
    <sheet state="hidden" name="Jan2023" sheetId="3" r:id="rId7"/>
    <sheet state="hidden" name="Feb2023" sheetId="4" r:id="rId8"/>
    <sheet state="hidden" name="March2023" sheetId="5" r:id="rId9"/>
    <sheet state="hidden" name="April2023" sheetId="6" r:id="rId10"/>
    <sheet state="hidden" name="May2023" sheetId="7" r:id="rId11"/>
    <sheet state="hidden" name="June2023" sheetId="8" r:id="rId12"/>
    <sheet state="hidden" name="July2023" sheetId="9" r:id="rId13"/>
    <sheet state="hidden" name="August2023" sheetId="10" r:id="rId14"/>
    <sheet state="hidden" name="September2023" sheetId="11" r:id="rId15"/>
    <sheet state="hidden" name="October2023" sheetId="12" r:id="rId16"/>
    <sheet state="hidden" name="November2023" sheetId="13" r:id="rId17"/>
    <sheet state="hidden" name="December2023" sheetId="14" r:id="rId18"/>
    <sheet state="hidden" name="January2024" sheetId="15" r:id="rId19"/>
    <sheet state="hidden" name="February2024" sheetId="16" r:id="rId20"/>
    <sheet state="hidden" name="March2024" sheetId="17" r:id="rId21"/>
    <sheet state="hidden" name="April2024" sheetId="18" r:id="rId22"/>
    <sheet state="hidden" name="May2024" sheetId="19" r:id="rId23"/>
    <sheet state="hidden" name="June2024" sheetId="20" r:id="rId24"/>
    <sheet state="hidden" name="July2024" sheetId="21" r:id="rId25"/>
    <sheet state="hidden" name="August2024" sheetId="22" r:id="rId26"/>
    <sheet state="hidden" name="September2024" sheetId="23" r:id="rId27"/>
    <sheet state="hidden" name="October2024" sheetId="24" r:id="rId28"/>
    <sheet state="hidden" name="November2024" sheetId="25" r:id="rId29"/>
    <sheet state="hidden" name="December2024" sheetId="26" r:id="rId30"/>
    <sheet state="hidden" name="January2025" sheetId="27" r:id="rId31"/>
    <sheet state="hidden" name="February2025" sheetId="28" r:id="rId32"/>
    <sheet state="hidden" name="March2025" sheetId="29" r:id="rId33"/>
    <sheet state="hidden" name="April2025" sheetId="30" r:id="rId34"/>
    <sheet state="hidden" name="May2025" sheetId="31" r:id="rId35"/>
    <sheet state="visible" name="June2025" sheetId="32" r:id="rId36"/>
    <sheet state="visible" name="July2025" sheetId="33" r:id="rId37"/>
    <sheet state="visible" name="August2025" sheetId="34" r:id="rId38"/>
    <sheet state="visible" name="September2025" sheetId="35" r:id="rId39"/>
    <sheet state="visible" name="Test" sheetId="36" r:id="rId40"/>
    <sheet state="visible" name="Test - 5 weeks" sheetId="37" r:id="rId41"/>
  </sheets>
  <definedNames/>
  <calcPr/>
</workbook>
</file>

<file path=xl/sharedStrings.xml><?xml version="1.0" encoding="utf-8"?>
<sst xmlns="http://schemas.openxmlformats.org/spreadsheetml/2006/main" count="2739" uniqueCount="57">
  <si>
    <t>Points</t>
  </si>
  <si>
    <t>Week 1</t>
  </si>
  <si>
    <t>Week 2</t>
  </si>
  <si>
    <t>Day</t>
  </si>
  <si>
    <t>Weekly Goals</t>
  </si>
  <si>
    <t>Exercise</t>
  </si>
  <si>
    <t>Laundry</t>
  </si>
  <si>
    <t>Stretch/Yoga (&gt;20min)</t>
  </si>
  <si>
    <t>Cleaning</t>
  </si>
  <si>
    <t>Social Media (&lt;Limit)</t>
  </si>
  <si>
    <t>Grocery Shop</t>
  </si>
  <si>
    <t>Eat in</t>
  </si>
  <si>
    <t>Meal Prep</t>
  </si>
  <si>
    <t>Review Budget/Goals</t>
  </si>
  <si>
    <t>Website work (~2h)</t>
  </si>
  <si>
    <t>Brush Teeth (&gt;=2)</t>
  </si>
  <si>
    <t>Recycling</t>
  </si>
  <si>
    <t>Water (&gt;2.25)</t>
  </si>
  <si>
    <t>Trash</t>
  </si>
  <si>
    <t>7 hours sleep</t>
  </si>
  <si>
    <t>Shave/Trim</t>
  </si>
  <si>
    <t>Clean (~20 min)</t>
  </si>
  <si>
    <t>Water Plants</t>
  </si>
  <si>
    <t>Read (~20 min)</t>
  </si>
  <si>
    <t>Weekend Exercise</t>
  </si>
  <si>
    <t>Monthly Goals</t>
  </si>
  <si>
    <t>Vitamins</t>
  </si>
  <si>
    <t>Total</t>
  </si>
  <si>
    <t>Wash Sheets</t>
  </si>
  <si>
    <t>Progress bar</t>
  </si>
  <si>
    <t>Savings Deposit</t>
  </si>
  <si>
    <t>Daily Progress</t>
  </si>
  <si>
    <t>Loan Payment</t>
  </si>
  <si>
    <t>Weekly Progress</t>
  </si>
  <si>
    <t>Wash mats</t>
  </si>
  <si>
    <t>Week 3</t>
  </si>
  <si>
    <t>Week 4</t>
  </si>
  <si>
    <t>(2x)Brush+(1x)Floss</t>
  </si>
  <si>
    <t>YTD Points</t>
  </si>
  <si>
    <t>Social Media (&lt;limit)</t>
  </si>
  <si>
    <t>Water (&gt;2.25L)</t>
  </si>
  <si>
    <t>Read(~30 min)</t>
  </si>
  <si>
    <t>Progress bar Total</t>
  </si>
  <si>
    <t>Water (~2.25L+)</t>
  </si>
  <si>
    <t>Sleep (~7 hours+)</t>
  </si>
  <si>
    <t>Water (2.25L+)</t>
  </si>
  <si>
    <t>Duolingo</t>
  </si>
  <si>
    <t>Haircut</t>
  </si>
  <si>
    <t>Weekly progress bar</t>
  </si>
  <si>
    <t>Water (3L)</t>
  </si>
  <si>
    <t>(%):</t>
  </si>
  <si>
    <t>Points:</t>
  </si>
  <si>
    <t>ytd</t>
  </si>
  <si>
    <t>Bonus Week</t>
  </si>
  <si>
    <t>Bonus</t>
  </si>
  <si>
    <t>Pack Gym Bag</t>
  </si>
  <si>
    <t>Gym Bag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</si>
</sst>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, yyyy"/>
    <numFmt numFmtId="165" formatCode="0.0%"/>
    <numFmt numFmtId="166" formatCode="d&quot;/&quot;m&quot;/&quot;yy"/>
    <numFmt numFmtId="167" formatCode="d&quot;/&quot;m"/>
    <numFmt numFmtId="168" formatCode="0.0"/>
  </numFmts>
  <fonts count="17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24.0"/>
      <color theme="1"/>
      <name val="Arial"/>
      <scheme val="minor"/>
    </font>
    <font>
      <b/>
      <sz val="24.0"/>
      <color rgb="FF000000"/>
      <name val="Inconsolata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Inconsolata"/>
    </font>
    <font>
      <b/>
      <sz val="10.0"/>
      <color theme="1"/>
      <name val="Arial"/>
      <scheme val="minor"/>
    </font>
    <font>
      <b/>
      <color rgb="FF000000"/>
      <name val="Arial"/>
      <scheme val="minor"/>
    </font>
    <font>
      <b/>
      <sz val="11.0"/>
      <color rgb="FF000000"/>
      <name val="Roboto"/>
    </font>
    <font>
      <b/>
      <color rgb="FF000000"/>
      <name val="Arial"/>
    </font>
    <font>
      <sz val="13.0"/>
      <color rgb="FF008000"/>
      <name val="Inherit"/>
    </font>
    <font>
      <b/>
      <sz val="18.0"/>
      <color theme="1"/>
      <name val="Arial"/>
      <scheme val="minor"/>
    </font>
    <font>
      <sz val="11.0"/>
      <color rgb="FFFFFFFF"/>
      <name val="Inconsolata"/>
    </font>
    <font>
      <color rgb="FFFFFFFF"/>
      <name val="Arial"/>
      <scheme val="minor"/>
    </font>
    <font>
      <b/>
      <sz val="11.0"/>
      <color rgb="FF008000"/>
      <name val="Inconsolata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ECECEC"/>
        <bgColor rgb="FFECECEC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3" numFmtId="165" xfId="0" applyBorder="1" applyFont="1" applyNumberFormat="1"/>
    <xf borderId="0" fillId="0" fontId="3" numFmtId="0" xfId="0" applyAlignment="1" applyFont="1">
      <alignment readingOrder="0"/>
    </xf>
    <xf borderId="0" fillId="3" fontId="4" numFmtId="0" xfId="0" applyFill="1" applyFont="1"/>
    <xf borderId="0" fillId="0" fontId="5" numFmtId="164" xfId="0" applyAlignment="1" applyFont="1" applyNumberFormat="1">
      <alignment readingOrder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4" fontId="6" numFmtId="166" xfId="0" applyAlignment="1" applyBorder="1" applyFill="1" applyFont="1" applyNumberFormat="1">
      <alignment readingOrder="0"/>
    </xf>
    <xf borderId="2" fillId="4" fontId="7" numFmtId="166" xfId="0" applyBorder="1" applyFont="1" applyNumberFormat="1"/>
    <xf borderId="2" fillId="4" fontId="6" numFmtId="166" xfId="0" applyBorder="1" applyFont="1" applyNumberFormat="1"/>
    <xf borderId="3" fillId="4" fontId="6" numFmtId="166" xfId="0" applyBorder="1" applyFont="1" applyNumberFormat="1"/>
    <xf borderId="0" fillId="0" fontId="6" numFmtId="166" xfId="0" applyFont="1" applyNumberFormat="1"/>
    <xf borderId="5" fillId="4" fontId="6" numFmtId="0" xfId="0" applyAlignment="1" applyBorder="1" applyFont="1">
      <alignment readingOrder="0"/>
    </xf>
    <xf borderId="6" fillId="4" fontId="7" numFmtId="0" xfId="0" applyBorder="1" applyFont="1"/>
    <xf borderId="7" fillId="4" fontId="7" numFmtId="0" xfId="0" applyBorder="1" applyFont="1"/>
    <xf borderId="0" fillId="3" fontId="7" numFmtId="0" xfId="0" applyFont="1"/>
    <xf borderId="9" fillId="5" fontId="6" numFmtId="0" xfId="0" applyAlignment="1" applyBorder="1" applyFill="1" applyFont="1">
      <alignment readingOrder="0"/>
    </xf>
    <xf borderId="10" fillId="5" fontId="6" numFmtId="0" xfId="0" applyAlignment="1" applyBorder="1" applyFont="1">
      <alignment readingOrder="0"/>
    </xf>
    <xf borderId="11" fillId="5" fontId="6" numFmtId="0" xfId="0" applyAlignment="1" applyBorder="1" applyFont="1">
      <alignment readingOrder="0"/>
    </xf>
    <xf borderId="12" fillId="6" fontId="8" numFmtId="0" xfId="0" applyAlignment="1" applyBorder="1" applyFill="1" applyFont="1">
      <alignment readingOrder="0"/>
    </xf>
    <xf borderId="0" fillId="7" fontId="9" numFmtId="0" xfId="0" applyAlignment="1" applyFill="1" applyFont="1">
      <alignment readingOrder="0"/>
    </xf>
    <xf borderId="0" fillId="7" fontId="9" numFmtId="0" xfId="0" applyFont="1"/>
    <xf borderId="0" fillId="7" fontId="10" numFmtId="0" xfId="0" applyAlignment="1" applyFont="1">
      <alignment readingOrder="0"/>
    </xf>
    <xf borderId="13" fillId="7" fontId="9" numFmtId="0" xfId="0" applyBorder="1" applyFont="1"/>
    <xf borderId="0" fillId="0" fontId="9" numFmtId="0" xfId="0" applyFont="1"/>
    <xf borderId="12" fillId="6" fontId="9" numFmtId="0" xfId="0" applyAlignment="1" applyBorder="1" applyFont="1">
      <alignment readingOrder="0"/>
    </xf>
    <xf borderId="13" fillId="7" fontId="9" numFmtId="0" xfId="0" applyAlignment="1" applyBorder="1" applyFont="1">
      <alignment readingOrder="0"/>
    </xf>
    <xf borderId="12" fillId="6" fontId="6" numFmtId="0" xfId="0" applyAlignment="1" applyBorder="1" applyFont="1">
      <alignment horizontal="center" readingOrder="0"/>
    </xf>
    <xf borderId="0" fillId="6" fontId="11" numFmtId="0" xfId="0" applyAlignment="1" applyFont="1">
      <alignment horizontal="left" readingOrder="0"/>
    </xf>
    <xf borderId="0" fillId="6" fontId="8" numFmtId="0" xfId="0" applyAlignment="1" applyFont="1">
      <alignment readingOrder="0"/>
    </xf>
    <xf borderId="12" fillId="6" fontId="6" numFmtId="0" xfId="0" applyAlignment="1" applyBorder="1" applyFont="1">
      <alignment readingOrder="0"/>
    </xf>
    <xf borderId="5" fillId="6" fontId="6" numFmtId="0" xfId="0" applyAlignment="1" applyBorder="1" applyFont="1">
      <alignment horizontal="center" readingOrder="0"/>
    </xf>
    <xf borderId="6" fillId="7" fontId="9" numFmtId="0" xfId="0" applyAlignment="1" applyBorder="1" applyFont="1">
      <alignment readingOrder="0"/>
    </xf>
    <xf borderId="7" fillId="7" fontId="9" numFmtId="0" xfId="0" applyAlignment="1" applyBorder="1" applyFont="1">
      <alignment readingOrder="0"/>
    </xf>
    <xf borderId="9" fillId="5" fontId="6" numFmtId="0" xfId="0" applyAlignment="1" applyBorder="1" applyFont="1">
      <alignment horizontal="center" readingOrder="0"/>
    </xf>
    <xf borderId="11" fillId="0" fontId="2" numFmtId="0" xfId="0" applyBorder="1" applyFont="1"/>
    <xf borderId="5" fillId="6" fontId="9" numFmtId="0" xfId="0" applyAlignment="1" applyBorder="1" applyFont="1">
      <alignment readingOrder="0"/>
    </xf>
    <xf borderId="5" fillId="2" fontId="6" numFmtId="0" xfId="0" applyAlignment="1" applyBorder="1" applyFont="1">
      <alignment readingOrder="0"/>
    </xf>
    <xf borderId="6" fillId="2" fontId="7" numFmtId="165" xfId="0" applyBorder="1" applyFont="1" applyNumberFormat="1"/>
    <xf borderId="7" fillId="2" fontId="7" numFmtId="165" xfId="0" applyBorder="1" applyFont="1" applyNumberFormat="1"/>
    <xf borderId="5" fillId="2" fontId="7" numFmtId="0" xfId="0" applyAlignment="1" applyBorder="1" applyFont="1">
      <alignment readingOrder="0"/>
    </xf>
    <xf borderId="6" fillId="2" fontId="7" numFmtId="10" xfId="0" applyBorder="1" applyFont="1" applyNumberFormat="1"/>
    <xf borderId="9" fillId="2" fontId="1" numFmtId="0" xfId="0" applyAlignment="1" applyBorder="1" applyFont="1">
      <alignment readingOrder="0"/>
    </xf>
    <xf borderId="10" fillId="8" fontId="12" numFmtId="0" xfId="0" applyBorder="1" applyFill="1" applyFont="1"/>
    <xf borderId="11" fillId="8" fontId="12" numFmtId="0" xfId="0" applyBorder="1" applyFont="1"/>
    <xf borderId="9" fillId="2" fontId="6" numFmtId="0" xfId="0" applyAlignment="1" applyBorder="1" applyFont="1">
      <alignment readingOrder="0"/>
    </xf>
    <xf borderId="0" fillId="0" fontId="9" numFmtId="166" xfId="0" applyFont="1" applyNumberFormat="1"/>
    <xf borderId="10" fillId="3" fontId="12" numFmtId="0" xfId="0" applyBorder="1" applyFont="1"/>
    <xf borderId="10" fillId="0" fontId="2" numFmtId="0" xfId="0" applyBorder="1" applyFont="1"/>
    <xf borderId="0" fillId="3" fontId="9" numFmtId="166" xfId="0" applyFont="1" applyNumberFormat="1"/>
    <xf borderId="0" fillId="3" fontId="1" numFmtId="0" xfId="0" applyFont="1"/>
    <xf borderId="1" fillId="3" fontId="1" numFmtId="0" xfId="0" applyAlignment="1" applyBorder="1" applyFont="1">
      <alignment readingOrder="0"/>
    </xf>
    <xf borderId="2" fillId="3" fontId="12" numFmtId="0" xfId="0" applyBorder="1" applyFont="1"/>
    <xf borderId="2" fillId="3" fontId="1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2" fillId="4" fontId="9" numFmtId="166" xfId="0" applyBorder="1" applyFont="1" applyNumberFormat="1"/>
    <xf borderId="3" fillId="4" fontId="9" numFmtId="166" xfId="0" applyBorder="1" applyFont="1" applyNumberFormat="1"/>
    <xf borderId="1" fillId="4" fontId="9" numFmtId="166" xfId="0" applyAlignment="1" applyBorder="1" applyFont="1" applyNumberFormat="1">
      <alignment readingOrder="0"/>
    </xf>
    <xf borderId="5" fillId="4" fontId="9" numFmtId="0" xfId="0" applyAlignment="1" applyBorder="1" applyFont="1">
      <alignment readingOrder="0"/>
    </xf>
    <xf borderId="0" fillId="7" fontId="10" numFmtId="0" xfId="0" applyFont="1"/>
    <xf borderId="12" fillId="6" fontId="11" numFmtId="0" xfId="0" applyAlignment="1" applyBorder="1" applyFont="1">
      <alignment horizontal="left" readingOrder="0"/>
    </xf>
    <xf borderId="6" fillId="7" fontId="9" numFmtId="0" xfId="0" applyBorder="1" applyFont="1"/>
    <xf borderId="6" fillId="2" fontId="6" numFmtId="165" xfId="0" applyBorder="1" applyFont="1" applyNumberFormat="1"/>
    <xf borderId="7" fillId="2" fontId="6" numFmtId="165" xfId="0" applyBorder="1" applyFont="1" applyNumberFormat="1"/>
    <xf borderId="0" fillId="3" fontId="1" numFmtId="0" xfId="0" applyAlignment="1" applyFont="1">
      <alignment readingOrder="0"/>
    </xf>
    <xf borderId="0" fillId="3" fontId="12" numFmtId="0" xfId="0" applyFont="1"/>
    <xf borderId="1" fillId="0" fontId="3" numFmtId="0" xfId="0" applyAlignment="1" applyBorder="1" applyFont="1">
      <alignment readingOrder="0"/>
    </xf>
    <xf borderId="2" fillId="3" fontId="4" numFmtId="0" xfId="0" applyBorder="1" applyFont="1"/>
    <xf borderId="1" fillId="0" fontId="5" numFmtId="0" xfId="0" applyAlignment="1" applyBorder="1" applyFont="1">
      <alignment readingOrder="0"/>
    </xf>
    <xf borderId="3" fillId="0" fontId="13" numFmtId="0" xfId="0" applyBorder="1" applyFont="1"/>
    <xf borderId="4" fillId="4" fontId="7" numFmtId="167" xfId="0" applyAlignment="1" applyBorder="1" applyFont="1" applyNumberFormat="1">
      <alignment horizontal="center"/>
    </xf>
    <xf borderId="4" fillId="4" fontId="6" numFmtId="167" xfId="0" applyAlignment="1" applyBorder="1" applyFont="1" applyNumberFormat="1">
      <alignment horizontal="center"/>
    </xf>
    <xf borderId="8" fillId="4" fontId="7" numFmtId="0" xfId="0" applyAlignment="1" applyBorder="1" applyFont="1">
      <alignment horizontal="center"/>
    </xf>
    <xf borderId="14" fillId="6" fontId="8" numFmtId="0" xfId="0" applyAlignment="1" applyBorder="1" applyFont="1">
      <alignment readingOrder="0"/>
    </xf>
    <xf borderId="0" fillId="9" fontId="9" numFmtId="0" xfId="0" applyAlignment="1" applyFill="1" applyFont="1">
      <alignment readingOrder="0"/>
    </xf>
    <xf borderId="14" fillId="6" fontId="9" numFmtId="0" xfId="0" applyAlignment="1" applyBorder="1" applyFont="1">
      <alignment readingOrder="0"/>
    </xf>
    <xf borderId="14" fillId="6" fontId="6" numFmtId="0" xfId="0" applyAlignment="1" applyBorder="1" applyFont="1">
      <alignment readingOrder="0"/>
    </xf>
    <xf borderId="13" fillId="6" fontId="11" numFmtId="0" xfId="0" applyAlignment="1" applyBorder="1" applyFont="1">
      <alignment horizontal="left" readingOrder="0"/>
    </xf>
    <xf borderId="13" fillId="6" fontId="6" numFmtId="0" xfId="0" applyAlignment="1" applyBorder="1" applyFont="1">
      <alignment readingOrder="0"/>
    </xf>
    <xf borderId="8" fillId="6" fontId="6" numFmtId="0" xfId="0" applyAlignment="1" applyBorder="1" applyFont="1">
      <alignment readingOrder="0"/>
    </xf>
    <xf borderId="8" fillId="6" fontId="9" numFmtId="0" xfId="0" applyAlignment="1" applyBorder="1" applyFont="1">
      <alignment readingOrder="0"/>
    </xf>
    <xf borderId="6" fillId="9" fontId="9" numFmtId="0" xfId="0" applyAlignment="1" applyBorder="1" applyFont="1">
      <alignment readingOrder="0"/>
    </xf>
    <xf borderId="8" fillId="2" fontId="6" numFmtId="0" xfId="0" applyAlignment="1" applyBorder="1" applyFont="1">
      <alignment readingOrder="0"/>
    </xf>
    <xf borderId="8" fillId="2" fontId="7" numFmtId="0" xfId="0" applyAlignment="1" applyBorder="1" applyFont="1">
      <alignment readingOrder="0"/>
    </xf>
    <xf borderId="15" fillId="2" fontId="1" numFmtId="0" xfId="0" applyAlignment="1" applyBorder="1" applyFont="1">
      <alignment readingOrder="0"/>
    </xf>
    <xf borderId="15" fillId="2" fontId="6" numFmtId="0" xfId="0" applyAlignment="1" applyBorder="1" applyFont="1">
      <alignment readingOrder="0"/>
    </xf>
    <xf borderId="11" fillId="2" fontId="7" numFmtId="165" xfId="0" applyBorder="1" applyFont="1" applyNumberFormat="1"/>
    <xf borderId="4" fillId="4" fontId="9" numFmtId="167" xfId="0" applyAlignment="1" applyBorder="1" applyFont="1" applyNumberFormat="1">
      <alignment horizontal="center"/>
    </xf>
    <xf borderId="14" fillId="4" fontId="9" numFmtId="167" xfId="0" applyAlignment="1" applyBorder="1" applyFont="1" applyNumberFormat="1">
      <alignment horizontal="center"/>
    </xf>
    <xf borderId="14" fillId="6" fontId="11" numFmtId="0" xfId="0" applyAlignment="1" applyBorder="1" applyFont="1">
      <alignment horizontal="left" readingOrder="0"/>
    </xf>
    <xf borderId="4" fillId="4" fontId="6" numFmtId="166" xfId="0" applyAlignment="1" applyBorder="1" applyFont="1" applyNumberFormat="1">
      <alignment readingOrder="0"/>
    </xf>
    <xf borderId="2" fillId="4" fontId="7" numFmtId="167" xfId="0" applyAlignment="1" applyBorder="1" applyFont="1" applyNumberFormat="1">
      <alignment horizontal="center"/>
    </xf>
    <xf borderId="2" fillId="4" fontId="6" numFmtId="167" xfId="0" applyAlignment="1" applyBorder="1" applyFont="1" applyNumberFormat="1">
      <alignment horizontal="center"/>
    </xf>
    <xf borderId="3" fillId="4" fontId="6" numFmtId="167" xfId="0" applyAlignment="1" applyBorder="1" applyFont="1" applyNumberFormat="1">
      <alignment horizontal="center"/>
    </xf>
    <xf borderId="8" fillId="4" fontId="6" numFmtId="0" xfId="0" applyAlignment="1" applyBorder="1" applyFont="1">
      <alignment readingOrder="0"/>
    </xf>
    <xf borderId="6" fillId="4" fontId="7" numFmtId="0" xfId="0" applyAlignment="1" applyBorder="1" applyFont="1">
      <alignment horizontal="center"/>
    </xf>
    <xf borderId="7" fillId="4" fontId="7" numFmtId="0" xfId="0" applyAlignment="1" applyBorder="1" applyFont="1">
      <alignment horizontal="center"/>
    </xf>
    <xf borderId="0" fillId="3" fontId="7" numFmtId="0" xfId="0" applyAlignment="1" applyFont="1">
      <alignment horizontal="center"/>
    </xf>
    <xf borderId="8" fillId="4" fontId="6" numFmtId="0" xfId="0" applyAlignment="1" applyBorder="1" applyFont="1">
      <alignment horizontal="left" readingOrder="0"/>
    </xf>
    <xf borderId="15" fillId="5" fontId="6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4" fillId="4" fontId="6" numFmtId="0" xfId="0" applyAlignment="1" applyBorder="1" applyFont="1">
      <alignment readingOrder="0"/>
    </xf>
    <xf borderId="2" fillId="4" fontId="9" numFmtId="167" xfId="0" applyAlignment="1" applyBorder="1" applyFont="1" applyNumberFormat="1">
      <alignment horizontal="center"/>
    </xf>
    <xf borderId="13" fillId="4" fontId="9" numFmtId="167" xfId="0" applyAlignment="1" applyBorder="1" applyFont="1" applyNumberFormat="1">
      <alignment horizontal="center"/>
    </xf>
    <xf borderId="4" fillId="4" fontId="9" numFmtId="166" xfId="0" applyAlignment="1" applyBorder="1" applyFont="1" applyNumberFormat="1">
      <alignment readingOrder="0"/>
    </xf>
    <xf borderId="3" fillId="4" fontId="9" numFmtId="167" xfId="0" applyAlignment="1" applyBorder="1" applyFont="1" applyNumberFormat="1">
      <alignment horizontal="center"/>
    </xf>
    <xf borderId="8" fillId="4" fontId="9" numFmtId="0" xfId="0" applyAlignment="1" applyBorder="1" applyFont="1">
      <alignment horizontal="left" readingOrder="0"/>
    </xf>
    <xf borderId="0" fillId="3" fontId="1" numFmtId="164" xfId="0" applyAlignment="1" applyFont="1" applyNumberFormat="1">
      <alignment readingOrder="0"/>
    </xf>
    <xf borderId="0" fillId="3" fontId="3" numFmtId="165" xfId="0" applyFont="1" applyNumberFormat="1"/>
    <xf borderId="0" fillId="3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3" numFmtId="0" xfId="0" applyFont="1"/>
    <xf borderId="0" fillId="3" fontId="1" numFmtId="164" xfId="0" applyAlignment="1" applyFont="1" applyNumberFormat="1">
      <alignment readingOrder="0"/>
    </xf>
    <xf borderId="12" fillId="3" fontId="3" numFmtId="165" xfId="0" applyBorder="1" applyFont="1" applyNumberFormat="1"/>
    <xf borderId="0" fillId="3" fontId="5" numFmtId="164" xfId="0" applyAlignment="1" applyFont="1" applyNumberFormat="1">
      <alignment readingOrder="0"/>
    </xf>
    <xf borderId="12" fillId="0" fontId="2" numFmtId="0" xfId="0" applyBorder="1" applyFont="1"/>
    <xf borderId="2" fillId="3" fontId="1" numFmtId="0" xfId="0" applyBorder="1" applyFont="1"/>
    <xf borderId="6" fillId="3" fontId="1" numFmtId="0" xfId="0" applyBorder="1" applyFont="1"/>
    <xf borderId="0" fillId="3" fontId="6" numFmtId="166" xfId="0" applyAlignment="1" applyFont="1" applyNumberFormat="1">
      <alignment readingOrder="0"/>
    </xf>
    <xf borderId="13" fillId="4" fontId="6" numFmtId="167" xfId="0" applyAlignment="1" applyBorder="1" applyFont="1" applyNumberFormat="1">
      <alignment horizontal="center"/>
    </xf>
    <xf borderId="14" fillId="4" fontId="6" numFmtId="166" xfId="0" applyAlignment="1" applyBorder="1" applyFont="1" applyNumberFormat="1">
      <alignment readingOrder="0"/>
    </xf>
    <xf borderId="0" fillId="3" fontId="6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14" numFmtId="10" xfId="0" applyFont="1" applyNumberFormat="1"/>
    <xf borderId="0" fillId="0" fontId="15" numFmtId="0" xfId="0" applyFont="1"/>
    <xf borderId="0" fillId="3" fontId="14" numFmtId="0" xfId="0" applyFont="1"/>
    <xf borderId="0" fillId="3" fontId="11" numFmtId="0" xfId="0" applyAlignment="1" applyFont="1">
      <alignment horizontal="left" readingOrder="0"/>
    </xf>
    <xf borderId="0" fillId="3" fontId="9" numFmtId="0" xfId="0" applyAlignment="1" applyFont="1">
      <alignment readingOrder="0"/>
    </xf>
    <xf borderId="15" fillId="2" fontId="7" numFmtId="0" xfId="0" applyAlignment="1" applyBorder="1" applyFont="1">
      <alignment readingOrder="0"/>
    </xf>
    <xf borderId="10" fillId="2" fontId="7" numFmtId="165" xfId="0" applyBorder="1" applyFont="1" applyNumberFormat="1"/>
    <xf borderId="4" fillId="2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/>
    </xf>
    <xf borderId="2" fillId="3" fontId="16" numFmtId="168" xfId="0" applyAlignment="1" applyBorder="1" applyFont="1" applyNumberFormat="1">
      <alignment readingOrder="0"/>
    </xf>
    <xf borderId="14" fillId="4" fontId="6" numFmtId="0" xfId="0" applyAlignment="1" applyBorder="1" applyFont="1">
      <alignment readingOrder="0"/>
    </xf>
    <xf borderId="8" fillId="4" fontId="9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" fillId="4" fontId="9" numFmtId="0" xfId="0" applyAlignment="1" applyBorder="1" applyFont="1">
      <alignment readingOrder="0"/>
    </xf>
    <xf borderId="0" fillId="3" fontId="6" numFmtId="165" xfId="0" applyFont="1" applyNumberFormat="1"/>
    <xf borderId="0" fillId="3" fontId="6" numFmtId="0" xfId="0" applyAlignment="1" applyFont="1">
      <alignment horizontal="center" readingOrder="0"/>
    </xf>
    <xf borderId="0" fillId="3" fontId="7" numFmtId="165" xfId="0" applyFont="1" applyNumberFormat="1"/>
    <xf borderId="11" fillId="2" fontId="6" numFmtId="165" xfId="0" applyBorder="1" applyFont="1" applyNumberFormat="1"/>
  </cellXfs>
  <cellStyles count="1">
    <cellStyle xfId="0" name="Normal" builtinId="0"/>
  </cellStyles>
  <dxfs count="11"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eb2023-style">
      <tableStyleElement dxfId="8" type="headerRow"/>
      <tableStyleElement dxfId="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Chart5.png"/><Relationship Id="rId3" Type="http://schemas.openxmlformats.org/officeDocument/2006/relationships/image" Target="../media/Chart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0.png"/><Relationship Id="rId2" Type="http://schemas.openxmlformats.org/officeDocument/2006/relationships/image" Target="../media/Chart11.png"/><Relationship Id="rId3" Type="http://schemas.openxmlformats.org/officeDocument/2006/relationships/image" Target="../media/Chart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3.png"/><Relationship Id="rId2" Type="http://schemas.openxmlformats.org/officeDocument/2006/relationships/image" Target="../media/Chart14.png"/><Relationship Id="rId3" Type="http://schemas.openxmlformats.org/officeDocument/2006/relationships/image" Target="../media/Chart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16.png"/><Relationship Id="rId2" Type="http://schemas.openxmlformats.org/officeDocument/2006/relationships/image" Target="../media/Chart17.png"/><Relationship Id="rId3" Type="http://schemas.openxmlformats.org/officeDocument/2006/relationships/image" Target="../media/Chart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19.png"/><Relationship Id="rId2" Type="http://schemas.openxmlformats.org/officeDocument/2006/relationships/image" Target="../media/Chart20.png"/><Relationship Id="rId3" Type="http://schemas.openxmlformats.org/officeDocument/2006/relationships/image" Target="../media/Chart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22.png"/><Relationship Id="rId2" Type="http://schemas.openxmlformats.org/officeDocument/2006/relationships/image" Target="../media/Chart23.png"/><Relationship Id="rId3" Type="http://schemas.openxmlformats.org/officeDocument/2006/relationships/image" Target="../media/Chart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25.png"/><Relationship Id="rId2" Type="http://schemas.openxmlformats.org/officeDocument/2006/relationships/image" Target="../media/Chart26.png"/><Relationship Id="rId3" Type="http://schemas.openxmlformats.org/officeDocument/2006/relationships/image" Target="../media/Chart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28.png"/><Relationship Id="rId2" Type="http://schemas.openxmlformats.org/officeDocument/2006/relationships/image" Target="../media/Chart29.png"/><Relationship Id="rId3" Type="http://schemas.openxmlformats.org/officeDocument/2006/relationships/image" Target="../media/Chart3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31.png"/><Relationship Id="rId2" Type="http://schemas.openxmlformats.org/officeDocument/2006/relationships/image" Target="../media/Chart32.png"/><Relationship Id="rId3" Type="http://schemas.openxmlformats.org/officeDocument/2006/relationships/image" Target="../media/Chart3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34.png"/><Relationship Id="rId2" Type="http://schemas.openxmlformats.org/officeDocument/2006/relationships/image" Target="../media/Chart35.png"/><Relationship Id="rId3" Type="http://schemas.openxmlformats.org/officeDocument/2006/relationships/image" Target="../media/Chart3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Chart37.png"/><Relationship Id="rId2" Type="http://schemas.openxmlformats.org/officeDocument/2006/relationships/image" Target="../media/Chart38.png"/><Relationship Id="rId3" Type="http://schemas.openxmlformats.org/officeDocument/2006/relationships/image" Target="../media/Chart3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Chart40.png"/><Relationship Id="rId2" Type="http://schemas.openxmlformats.org/officeDocument/2006/relationships/image" Target="../media/Chart41.png"/><Relationship Id="rId3" Type="http://schemas.openxmlformats.org/officeDocument/2006/relationships/image" Target="../media/Chart4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Chart43.png"/><Relationship Id="rId2" Type="http://schemas.openxmlformats.org/officeDocument/2006/relationships/image" Target="../media/Chart20.png"/><Relationship Id="rId3" Type="http://schemas.openxmlformats.org/officeDocument/2006/relationships/image" Target="../media/Chart4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Chart46.png"/><Relationship Id="rId2" Type="http://schemas.openxmlformats.org/officeDocument/2006/relationships/image" Target="../media/Chart47.png"/><Relationship Id="rId3" Type="http://schemas.openxmlformats.org/officeDocument/2006/relationships/image" Target="../media/Chart4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Chart49.png"/><Relationship Id="rId2" Type="http://schemas.openxmlformats.org/officeDocument/2006/relationships/image" Target="../media/Chart50.png"/><Relationship Id="rId3" Type="http://schemas.openxmlformats.org/officeDocument/2006/relationships/image" Target="../media/Chart5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Chart52.png"/><Relationship Id="rId2" Type="http://schemas.openxmlformats.org/officeDocument/2006/relationships/image" Target="../media/Chart53.png"/><Relationship Id="rId3" Type="http://schemas.openxmlformats.org/officeDocument/2006/relationships/image" Target="../media/Chart5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Chart55.png"/><Relationship Id="rId2" Type="http://schemas.openxmlformats.org/officeDocument/2006/relationships/image" Target="../media/Chart32.png"/><Relationship Id="rId3" Type="http://schemas.openxmlformats.org/officeDocument/2006/relationships/image" Target="../media/Chart5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Chart58.png"/><Relationship Id="rId2" Type="http://schemas.openxmlformats.org/officeDocument/2006/relationships/image" Target="../media/Chart59.png"/><Relationship Id="rId3" Type="http://schemas.openxmlformats.org/officeDocument/2006/relationships/image" Target="../media/Chart6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Chart61.png"/><Relationship Id="rId2" Type="http://schemas.openxmlformats.org/officeDocument/2006/relationships/image" Target="../media/Chart62.png"/><Relationship Id="rId3" Type="http://schemas.openxmlformats.org/officeDocument/2006/relationships/image" Target="../media/Chart6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Chart64.png"/><Relationship Id="rId2" Type="http://schemas.openxmlformats.org/officeDocument/2006/relationships/image" Target="../media/Chart65.png"/><Relationship Id="rId3" Type="http://schemas.openxmlformats.org/officeDocument/2006/relationships/image" Target="../media/Chart6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Chart67.png"/><Relationship Id="rId2" Type="http://schemas.openxmlformats.org/officeDocument/2006/relationships/image" Target="../media/Chart68.png"/><Relationship Id="rId3" Type="http://schemas.openxmlformats.org/officeDocument/2006/relationships/image" Target="../media/Chart6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Chart70.png"/><Relationship Id="rId2" Type="http://schemas.openxmlformats.org/officeDocument/2006/relationships/image" Target="../media/Chart5.png"/><Relationship Id="rId3" Type="http://schemas.openxmlformats.org/officeDocument/2006/relationships/image" Target="../media/Chart7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Chart73.png"/><Relationship Id="rId2" Type="http://schemas.openxmlformats.org/officeDocument/2006/relationships/image" Target="../media/Chart74.png"/><Relationship Id="rId3" Type="http://schemas.openxmlformats.org/officeDocument/2006/relationships/image" Target="../media/Chart7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Chart76.png"/><Relationship Id="rId2" Type="http://schemas.openxmlformats.org/officeDocument/2006/relationships/image" Target="../media/Chart77.png"/><Relationship Id="rId3" Type="http://schemas.openxmlformats.org/officeDocument/2006/relationships/image" Target="../media/Chart7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Chart79.png"/><Relationship Id="rId2" Type="http://schemas.openxmlformats.org/officeDocument/2006/relationships/image" Target="../media/Chart32.png"/><Relationship Id="rId3" Type="http://schemas.openxmlformats.org/officeDocument/2006/relationships/image" Target="../media/Chart8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Chart82.png"/><Relationship Id="rId2" Type="http://schemas.openxmlformats.org/officeDocument/2006/relationships/image" Target="../media/Chart83.png"/><Relationship Id="rId3" Type="http://schemas.openxmlformats.org/officeDocument/2006/relationships/image" Target="../media/Chart8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Chart85.png"/><Relationship Id="rId2" Type="http://schemas.openxmlformats.org/officeDocument/2006/relationships/image" Target="../media/Chart86.png"/><Relationship Id="rId3" Type="http://schemas.openxmlformats.org/officeDocument/2006/relationships/image" Target="../media/Chart8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Chart88.png"/><Relationship Id="rId2" Type="http://schemas.openxmlformats.org/officeDocument/2006/relationships/image" Target="../media/Chart89.png"/><Relationship Id="rId3" Type="http://schemas.openxmlformats.org/officeDocument/2006/relationships/image" Target="../media/Chart9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Chart91.png"/><Relationship Id="rId2" Type="http://schemas.openxmlformats.org/officeDocument/2006/relationships/image" Target="../media/Chart92.png"/><Relationship Id="rId3" Type="http://schemas.openxmlformats.org/officeDocument/2006/relationships/image" Target="../media/Chart9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Chart91.png"/><Relationship Id="rId2" Type="http://schemas.openxmlformats.org/officeDocument/2006/relationships/image" Target="../media/Chart92.png"/><Relationship Id="rId3" Type="http://schemas.openxmlformats.org/officeDocument/2006/relationships/image" Target="../media/Chart9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Chart91.png"/><Relationship Id="rId2" Type="http://schemas.openxmlformats.org/officeDocument/2006/relationships/image" Target="../media/Chart92.png"/><Relationship Id="rId3" Type="http://schemas.openxmlformats.org/officeDocument/2006/relationships/image" Target="../media/Chart9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Chart91.png"/><Relationship Id="rId2" Type="http://schemas.openxmlformats.org/officeDocument/2006/relationships/image" Target="../media/Chart92.png"/><Relationship Id="rId3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212030784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54341329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78400379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40597350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36696698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738450975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50775641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462438097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1866580260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417446523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113223360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582710648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409033408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816731253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815590694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2045625374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702532121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639039723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412428484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559955238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49357632" name="Chart2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801218862" name="Chart2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976137796" name="Chart2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260606778" name="Chart2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465699596" name="Chart2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478032078" name="Chart2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2066904969" name="Chart2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068800833" name="Chart2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828939219" name="Chart2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403435900" name="Chart3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789321167" name="Chart3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369508172" name="Chart3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1638703983" name="Chart3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279486961" name="Chart3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723311629" name="Chart3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289283273" name="Chart3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365606555" name="Chart3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927324023" name="Chart3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255782168" name="Chart3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830515795" name="Chart4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661711764" name="Chart4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798185857" name="Chart4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500104882" name="Chart4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573766156" name="Chart4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238270812" name="Chart4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387310573" name="Chart4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47479640" name="Chart4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1998791492" name="Chart4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571478785" name="Chart4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618744390" name="Chart5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008391631" name="Chart5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683208258" name="Chart5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586795089" name="Chart5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2142061029" name="Chart5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062619231" name="Chart5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516489124" name="Chart5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511775860" name="Chart5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631643092" name="Chart5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648181673" name="Chart5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227218905" name="Chart6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833546773" name="Chart6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685330601" name="Chart6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795077984" name="Chart6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2050222383" name="Chart6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87709031" name="Chart6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777771217" name="Chart6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022982822" name="Chart6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998411428" name="Chart6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2059682972" name="Chart6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989930210" name="Chart7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957246201" name="Chart7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339639124" name="Chart7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253574950" name="Chart7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620596103" name="Chart7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809894938" name="Chart7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776583418" name="Chart7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452505742" name="Chart7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1770441486" name="Chart7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736325377" name="Chart7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417597633" name="Chart8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2043948384" name="Chart8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207247183" name="Chart8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327041750" name="Chart8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322600571" name="Chart8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294264127" name="Chart8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759053125" name="Chart8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341194904" name="Chart8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606519408" name="Chart8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989160059" name="Chart8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84459650" name="Chart9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1992246104" name="Chart9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845357619" name="Chart9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496763322" name="Chart9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501725659" name="Chart9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2139171159" name="Chart9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515167454" name="Chart9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65705675" name="Chart9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1126711910" name="Chart9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95250</xdr:colOff>
      <xdr:row>0</xdr:row>
      <xdr:rowOff>57150</xdr:rowOff>
    </xdr:from>
    <xdr:ext cx="1819275" cy="1123950"/>
    <xdr:pic>
      <xdr:nvPicPr>
        <xdr:cNvPr id="1308024627" name="Chart9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66675</xdr:colOff>
      <xdr:row>0</xdr:row>
      <xdr:rowOff>57150</xdr:rowOff>
    </xdr:from>
    <xdr:ext cx="1819275" cy="1123950"/>
    <xdr:pic>
      <xdr:nvPicPr>
        <xdr:cNvPr id="649258083" name="Chart10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0</xdr:row>
      <xdr:rowOff>57150</xdr:rowOff>
    </xdr:from>
    <xdr:ext cx="1819275" cy="1123950"/>
    <xdr:pic>
      <xdr:nvPicPr>
        <xdr:cNvPr id="743526734" name="Chart10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666750</xdr:colOff>
      <xdr:row>0</xdr:row>
      <xdr:rowOff>57150</xdr:rowOff>
    </xdr:from>
    <xdr:ext cx="1819275" cy="1123950"/>
    <xdr:pic>
      <xdr:nvPicPr>
        <xdr:cNvPr id="252462383" name="Chart10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" displayName="Table_1" name="Table_1" id="1">
  <tableColumns count="1">
    <tableColumn name="Column1" id="1"/>
  </tableColumns>
  <tableStyleInfo name="Feb20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  <col customWidth="1" min="2" max="2" width="8.38"/>
    <col customWidth="1" min="3" max="8" width="7.38"/>
    <col customWidth="1" min="9" max="9" width="5.0"/>
    <col customWidth="1" min="10" max="10" width="18.5"/>
    <col customWidth="1" min="11" max="13" width="7.38"/>
    <col customWidth="1" min="14" max="14" width="10.5"/>
    <col customWidth="1" min="15" max="17" width="7.38"/>
    <col customWidth="1" min="18" max="18" width="11.88"/>
    <col customWidth="1" min="19" max="19" width="16.25"/>
    <col customWidth="1" min="20" max="21" width="6.63"/>
    <col customWidth="1" min="22" max="22" width="4.88"/>
    <col customWidth="1" min="23" max="23" width="15.63"/>
  </cols>
  <sheetData>
    <row r="1">
      <c r="A1" s="1"/>
      <c r="C1" s="2" t="str">
        <f>IFERROR(__xludf.DUMMYFUNCTION("SPARKLINE((SUM(B16:H16)+3*SUM(T15:U15) + SUM(K16:Q16) + SUM(B33:H33) + SUM(K33:Q33) + 3*SUM(T32:U32)+ 5*SUM(X19))/45,{""charttype"",""bar"";""max"",1;""min"",0;""color1"",IF((SUM(B16:H16)+3*SUM(T15:U15) + SUM(K16:Q16) + SUM(B33:H33) + SUM(K33:Q33) + 3*SUM"&amp;"(T32:U32)+ 5*SUM(X19))/45&gt;0.7,""green"",IF((SUM(B16:H16)+3*SUM(T15:U15) + SUM(K16:Q16) + SUM(B33:H33) + SUM(K33:Q33) + 3*SUM(T32:U32)+ 5*SUM(X19))/45&gt;0.5,""yellow"",""red""))})"),"")</f>
        <v/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>
        <f>(SUM(B16:H16)+3*SUM(T15:U15) + SUM(K16:Q16) + SUM(B33:H33) + SUM(K33:Q33) + 3*SUM(T32:U32) + 5*SUM(X19))/45</f>
        <v>0.7305050505</v>
      </c>
      <c r="S1" s="6" t="s">
        <v>0</v>
      </c>
      <c r="T1" s="7">
        <f t="array" ref="T1">COUNTIF(B5:H15,TRUE)+COUNTIF(K5:Q15,TRUE)+COUNTIF(B22:H32,TRUE)+COUNTIF(K22:Q32,TRUE)+3*(COUNTIF(T5:U14,TRUE)+COUNTIF(T22:U31,TRUE))+5*(COUNTIF(X15:X18,TRUE))</f>
        <v>317</v>
      </c>
    </row>
    <row r="2">
      <c r="A2" s="8">
        <v>44866.0</v>
      </c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2"/>
    </row>
    <row r="3">
      <c r="A3" s="13" t="s">
        <v>1</v>
      </c>
      <c r="B3" s="14">
        <f>DATE(YEAR(A2),MONTH(A2),1)+MOD(9-WEEKDAY(DATE(YEAR(A2),MONTH(A2),1)),7)</f>
        <v>44872</v>
      </c>
      <c r="C3" s="15">
        <f t="shared" ref="C3:H3" si="1">B3+1</f>
        <v>44873</v>
      </c>
      <c r="D3" s="15">
        <f t="shared" si="1"/>
        <v>44874</v>
      </c>
      <c r="E3" s="15">
        <f t="shared" si="1"/>
        <v>44875</v>
      </c>
      <c r="F3" s="15">
        <f t="shared" si="1"/>
        <v>44876</v>
      </c>
      <c r="G3" s="15">
        <f t="shared" si="1"/>
        <v>44877</v>
      </c>
      <c r="H3" s="16">
        <f t="shared" si="1"/>
        <v>44878</v>
      </c>
      <c r="I3" s="17"/>
      <c r="J3" s="13" t="s">
        <v>2</v>
      </c>
      <c r="K3" s="15">
        <f>H3+1</f>
        <v>44879</v>
      </c>
      <c r="L3" s="15">
        <f t="shared" ref="L3:Q3" si="2">K3+1</f>
        <v>44880</v>
      </c>
      <c r="M3" s="15">
        <f t="shared" si="2"/>
        <v>44881</v>
      </c>
      <c r="N3" s="15">
        <f t="shared" si="2"/>
        <v>44882</v>
      </c>
      <c r="O3" s="15">
        <f t="shared" si="2"/>
        <v>44883</v>
      </c>
      <c r="P3" s="15">
        <f t="shared" si="2"/>
        <v>44884</v>
      </c>
      <c r="Q3" s="16">
        <f t="shared" si="2"/>
        <v>44885</v>
      </c>
    </row>
    <row r="4">
      <c r="A4" s="18" t="s">
        <v>3</v>
      </c>
      <c r="B4" s="19" t="str">
        <f t="shared" ref="B4:H4" si="3">CHOOSE(WEEKDAY(B3,2),"Mon","Tue","Wed","Thu","Fri","Sat","Sun")</f>
        <v>Mon</v>
      </c>
      <c r="C4" s="19" t="str">
        <f t="shared" si="3"/>
        <v>Tue</v>
      </c>
      <c r="D4" s="19" t="str">
        <f t="shared" si="3"/>
        <v>Wed</v>
      </c>
      <c r="E4" s="19" t="str">
        <f t="shared" si="3"/>
        <v>Thu</v>
      </c>
      <c r="F4" s="19" t="str">
        <f t="shared" si="3"/>
        <v>Fri</v>
      </c>
      <c r="G4" s="19" t="str">
        <f t="shared" si="3"/>
        <v>Sat</v>
      </c>
      <c r="H4" s="20" t="str">
        <f t="shared" si="3"/>
        <v>Sun</v>
      </c>
      <c r="I4" s="21"/>
      <c r="J4" s="18" t="s">
        <v>3</v>
      </c>
      <c r="K4" s="19" t="str">
        <f t="shared" ref="K4:Q4" si="4">CHOOSE(WEEKDAY(K3,2),"Mon","Tue","Wed","Thu","Fri","Sat","Sun")</f>
        <v>Mon</v>
      </c>
      <c r="L4" s="19" t="str">
        <f t="shared" si="4"/>
        <v>Tue</v>
      </c>
      <c r="M4" s="19" t="str">
        <f t="shared" si="4"/>
        <v>Wed</v>
      </c>
      <c r="N4" s="19" t="str">
        <f t="shared" si="4"/>
        <v>Thu</v>
      </c>
      <c r="O4" s="19" t="str">
        <f t="shared" si="4"/>
        <v>Fri</v>
      </c>
      <c r="P4" s="19" t="str">
        <f t="shared" si="4"/>
        <v>Sat</v>
      </c>
      <c r="Q4" s="20" t="str">
        <f t="shared" si="4"/>
        <v>Sun</v>
      </c>
      <c r="S4" s="22" t="s">
        <v>4</v>
      </c>
      <c r="T4" s="23" t="s">
        <v>1</v>
      </c>
      <c r="U4" s="24" t="s">
        <v>2</v>
      </c>
    </row>
    <row r="5">
      <c r="A5" s="25" t="s">
        <v>5</v>
      </c>
      <c r="B5" s="26" t="b">
        <v>0</v>
      </c>
      <c r="C5" s="27" t="b">
        <v>0</v>
      </c>
      <c r="D5" s="26" t="b">
        <v>0</v>
      </c>
      <c r="E5" s="28" t="b">
        <v>0</v>
      </c>
      <c r="F5" s="27" t="b">
        <v>0</v>
      </c>
      <c r="G5" s="27" t="b">
        <v>0</v>
      </c>
      <c r="H5" s="29" t="b">
        <v>0</v>
      </c>
      <c r="I5" s="30"/>
      <c r="J5" s="31" t="s">
        <v>5</v>
      </c>
      <c r="K5" s="27" t="b">
        <v>0</v>
      </c>
      <c r="L5" s="27" t="b">
        <v>0</v>
      </c>
      <c r="M5" s="26" t="b">
        <v>1</v>
      </c>
      <c r="N5" s="26" t="b">
        <v>1</v>
      </c>
      <c r="O5" s="26" t="b">
        <v>1</v>
      </c>
      <c r="P5" s="26" t="b">
        <v>1</v>
      </c>
      <c r="Q5" s="32" t="b">
        <v>1</v>
      </c>
      <c r="S5" s="33" t="s">
        <v>6</v>
      </c>
      <c r="T5" s="26" t="b">
        <v>1</v>
      </c>
      <c r="U5" s="32" t="b">
        <v>1</v>
      </c>
    </row>
    <row r="6">
      <c r="A6" s="25" t="s">
        <v>7</v>
      </c>
      <c r="B6" s="27" t="b">
        <v>0</v>
      </c>
      <c r="C6" s="27" t="b">
        <v>0</v>
      </c>
      <c r="D6" s="26" t="b">
        <v>0</v>
      </c>
      <c r="E6" s="26" t="b">
        <v>0</v>
      </c>
      <c r="F6" s="27" t="b">
        <v>0</v>
      </c>
      <c r="G6" s="27" t="b">
        <v>0</v>
      </c>
      <c r="H6" s="29" t="b">
        <v>0</v>
      </c>
      <c r="I6" s="30"/>
      <c r="J6" s="31" t="s">
        <v>7</v>
      </c>
      <c r="K6" s="27" t="b">
        <v>0</v>
      </c>
      <c r="L6" s="27" t="b">
        <v>0</v>
      </c>
      <c r="M6" s="27" t="b">
        <v>0</v>
      </c>
      <c r="N6" s="26" t="b">
        <v>1</v>
      </c>
      <c r="O6" s="26" t="b">
        <v>1</v>
      </c>
      <c r="P6" s="26" t="b">
        <v>1</v>
      </c>
      <c r="Q6" s="32" t="b">
        <v>1</v>
      </c>
      <c r="S6" s="33" t="s">
        <v>8</v>
      </c>
      <c r="T6" s="26" t="b">
        <v>1</v>
      </c>
      <c r="U6" s="32" t="b">
        <v>1</v>
      </c>
    </row>
    <row r="7">
      <c r="A7" s="31" t="s">
        <v>9</v>
      </c>
      <c r="B7" s="26" t="b">
        <v>1</v>
      </c>
      <c r="C7" s="26" t="b">
        <v>1</v>
      </c>
      <c r="D7" s="26" t="b">
        <v>1</v>
      </c>
      <c r="E7" s="28" t="b">
        <v>1</v>
      </c>
      <c r="F7" s="26" t="b">
        <v>1</v>
      </c>
      <c r="G7" s="26" t="b">
        <v>0</v>
      </c>
      <c r="H7" s="32" t="b">
        <v>1</v>
      </c>
      <c r="I7" s="30"/>
      <c r="J7" s="31" t="s">
        <v>9</v>
      </c>
      <c r="K7" s="26" t="b">
        <v>1</v>
      </c>
      <c r="L7" s="26" t="b">
        <v>1</v>
      </c>
      <c r="M7" s="26" t="b">
        <v>1</v>
      </c>
      <c r="N7" s="26" t="b">
        <v>1</v>
      </c>
      <c r="O7" s="26" t="b">
        <v>1</v>
      </c>
      <c r="P7" s="26" t="b">
        <v>1</v>
      </c>
      <c r="Q7" s="32" t="b">
        <v>1</v>
      </c>
      <c r="S7" s="33" t="s">
        <v>10</v>
      </c>
      <c r="T7" s="26" t="b">
        <v>1</v>
      </c>
      <c r="U7" s="32" t="b">
        <v>1</v>
      </c>
    </row>
    <row r="8">
      <c r="A8" s="25" t="s">
        <v>11</v>
      </c>
      <c r="B8" s="26" t="b">
        <v>0</v>
      </c>
      <c r="C8" s="26" t="b">
        <v>1</v>
      </c>
      <c r="D8" s="26" t="b">
        <v>1</v>
      </c>
      <c r="E8" s="26" t="b">
        <v>1</v>
      </c>
      <c r="F8" s="26" t="b">
        <v>1</v>
      </c>
      <c r="G8" s="26" t="b">
        <v>1</v>
      </c>
      <c r="H8" s="32" t="b">
        <v>0</v>
      </c>
      <c r="I8" s="30"/>
      <c r="J8" s="31" t="s">
        <v>11</v>
      </c>
      <c r="K8" s="26" t="b">
        <v>1</v>
      </c>
      <c r="L8" s="26" t="b">
        <v>1</v>
      </c>
      <c r="M8" s="26" t="b">
        <v>1</v>
      </c>
      <c r="N8" s="26" t="b">
        <v>1</v>
      </c>
      <c r="O8" s="26" t="b">
        <v>1</v>
      </c>
      <c r="P8" s="26" t="b">
        <v>1</v>
      </c>
      <c r="Q8" s="32" t="b">
        <v>1</v>
      </c>
      <c r="S8" s="33" t="s">
        <v>12</v>
      </c>
      <c r="T8" s="26" t="b">
        <v>1</v>
      </c>
      <c r="U8" s="32" t="b">
        <v>1</v>
      </c>
    </row>
    <row r="9">
      <c r="A9" s="34" t="s">
        <v>13</v>
      </c>
      <c r="B9" s="26" t="b">
        <v>1</v>
      </c>
      <c r="C9" s="26" t="b">
        <v>1</v>
      </c>
      <c r="D9" s="26" t="b">
        <v>1</v>
      </c>
      <c r="E9" s="26" t="b">
        <v>1</v>
      </c>
      <c r="F9" s="26" t="b">
        <v>1</v>
      </c>
      <c r="G9" s="26" t="b">
        <v>1</v>
      </c>
      <c r="H9" s="32" t="b">
        <v>1</v>
      </c>
      <c r="I9" s="30"/>
      <c r="J9" s="31" t="s">
        <v>13</v>
      </c>
      <c r="K9" s="26" t="b">
        <v>1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32" t="b">
        <v>1</v>
      </c>
      <c r="S9" s="33" t="s">
        <v>14</v>
      </c>
      <c r="T9" s="26" t="b">
        <v>0</v>
      </c>
      <c r="U9" s="32" t="b">
        <v>0</v>
      </c>
    </row>
    <row r="10">
      <c r="A10" s="35" t="s">
        <v>15</v>
      </c>
      <c r="B10" s="26" t="b">
        <v>1</v>
      </c>
      <c r="C10" s="26" t="b">
        <v>1</v>
      </c>
      <c r="D10" s="26" t="b">
        <v>1</v>
      </c>
      <c r="E10" s="26" t="b">
        <v>1</v>
      </c>
      <c r="F10" s="26" t="b">
        <v>1</v>
      </c>
      <c r="G10" s="26" t="b">
        <v>1</v>
      </c>
      <c r="H10" s="32" t="b">
        <v>1</v>
      </c>
      <c r="I10" s="30"/>
      <c r="J10" s="31" t="s">
        <v>15</v>
      </c>
      <c r="K10" s="26" t="b">
        <v>1</v>
      </c>
      <c r="L10" s="26" t="b">
        <v>1</v>
      </c>
      <c r="M10" s="26" t="b">
        <v>1</v>
      </c>
      <c r="N10" s="26" t="b">
        <v>1</v>
      </c>
      <c r="O10" s="26" t="b">
        <v>1</v>
      </c>
      <c r="P10" s="26" t="b">
        <v>1</v>
      </c>
      <c r="Q10" s="32" t="b">
        <v>1</v>
      </c>
      <c r="S10" s="33" t="s">
        <v>16</v>
      </c>
      <c r="T10" s="26" t="b">
        <v>1</v>
      </c>
      <c r="U10" s="32" t="b">
        <v>1</v>
      </c>
    </row>
    <row r="11">
      <c r="A11" s="36" t="s">
        <v>17</v>
      </c>
      <c r="B11" s="26" t="b">
        <v>0</v>
      </c>
      <c r="C11" s="27" t="b">
        <v>0</v>
      </c>
      <c r="D11" s="26" t="b">
        <v>0</v>
      </c>
      <c r="E11" s="26" t="b">
        <v>0</v>
      </c>
      <c r="F11" s="27" t="b">
        <v>0</v>
      </c>
      <c r="G11" s="27" t="b">
        <v>0</v>
      </c>
      <c r="H11" s="29" t="b">
        <v>0</v>
      </c>
      <c r="I11" s="30"/>
      <c r="J11" s="36" t="s">
        <v>17</v>
      </c>
      <c r="K11" s="27" t="b">
        <v>0</v>
      </c>
      <c r="L11" s="26" t="b">
        <v>0</v>
      </c>
      <c r="M11" s="26" t="b">
        <v>1</v>
      </c>
      <c r="N11" s="26" t="b">
        <v>1</v>
      </c>
      <c r="O11" s="26" t="b">
        <v>1</v>
      </c>
      <c r="P11" s="26" t="b">
        <v>1</v>
      </c>
      <c r="Q11" s="32" t="b">
        <v>1</v>
      </c>
      <c r="S11" s="33" t="s">
        <v>18</v>
      </c>
      <c r="T11" s="26" t="b">
        <v>1</v>
      </c>
      <c r="U11" s="32" t="b">
        <v>1</v>
      </c>
    </row>
    <row r="12">
      <c r="A12" s="25" t="s">
        <v>19</v>
      </c>
      <c r="B12" s="26" t="b">
        <v>1</v>
      </c>
      <c r="C12" s="26" t="b">
        <v>0</v>
      </c>
      <c r="D12" s="26" t="b">
        <v>1</v>
      </c>
      <c r="E12" s="26" t="b">
        <v>1</v>
      </c>
      <c r="F12" s="26" t="b">
        <v>1</v>
      </c>
      <c r="G12" s="26" t="b">
        <v>1</v>
      </c>
      <c r="H12" s="32" t="b">
        <v>0</v>
      </c>
      <c r="I12" s="30"/>
      <c r="J12" s="31" t="s">
        <v>19</v>
      </c>
      <c r="K12" s="26" t="b">
        <v>1</v>
      </c>
      <c r="L12" s="26" t="b">
        <v>0</v>
      </c>
      <c r="M12" s="26" t="b">
        <v>1</v>
      </c>
      <c r="N12" s="26" t="b">
        <v>1</v>
      </c>
      <c r="O12" s="26" t="b">
        <v>0</v>
      </c>
      <c r="P12" s="26" t="b">
        <v>1</v>
      </c>
      <c r="Q12" s="32" t="b">
        <v>1</v>
      </c>
      <c r="S12" s="33" t="s">
        <v>20</v>
      </c>
      <c r="T12" s="26" t="b">
        <v>0</v>
      </c>
      <c r="U12" s="32" t="b">
        <v>1</v>
      </c>
    </row>
    <row r="13">
      <c r="A13" s="25" t="s">
        <v>21</v>
      </c>
      <c r="B13" s="27" t="b">
        <v>0</v>
      </c>
      <c r="C13" s="26" t="b">
        <v>1</v>
      </c>
      <c r="D13" s="26" t="b">
        <v>0</v>
      </c>
      <c r="E13" s="26" t="b">
        <v>1</v>
      </c>
      <c r="F13" s="26" t="b">
        <v>0</v>
      </c>
      <c r="G13" s="27" t="b">
        <v>0</v>
      </c>
      <c r="H13" s="32" t="b">
        <v>1</v>
      </c>
      <c r="I13" s="30"/>
      <c r="J13" s="31" t="s">
        <v>21</v>
      </c>
      <c r="K13" s="26" t="b">
        <v>1</v>
      </c>
      <c r="L13" s="26" t="b">
        <v>1</v>
      </c>
      <c r="M13" s="26" t="b">
        <v>0</v>
      </c>
      <c r="N13" s="26" t="b">
        <v>1</v>
      </c>
      <c r="O13" s="26" t="b">
        <v>1</v>
      </c>
      <c r="P13" s="26" t="b">
        <v>1</v>
      </c>
      <c r="Q13" s="32" t="b">
        <v>1</v>
      </c>
      <c r="S13" s="33" t="s">
        <v>22</v>
      </c>
      <c r="T13" s="26" t="b">
        <v>1</v>
      </c>
      <c r="U13" s="32" t="b">
        <v>0</v>
      </c>
    </row>
    <row r="14">
      <c r="A14" s="25" t="s">
        <v>23</v>
      </c>
      <c r="B14" s="26" t="b">
        <v>0</v>
      </c>
      <c r="C14" s="27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9" t="b">
        <v>0</v>
      </c>
      <c r="I14" s="30"/>
      <c r="J14" s="31" t="s">
        <v>23</v>
      </c>
      <c r="K14" s="27" t="b">
        <v>0</v>
      </c>
      <c r="L14" s="27" t="b">
        <v>0</v>
      </c>
      <c r="M14" s="27" t="b">
        <v>0</v>
      </c>
      <c r="N14" s="27" t="b">
        <v>0</v>
      </c>
      <c r="O14" s="26" t="b">
        <v>1</v>
      </c>
      <c r="P14" s="26" t="b">
        <v>1</v>
      </c>
      <c r="Q14" s="29" t="b">
        <v>0</v>
      </c>
      <c r="S14" s="37" t="s">
        <v>24</v>
      </c>
      <c r="T14" s="38" t="b">
        <v>0</v>
      </c>
      <c r="U14" s="39" t="b">
        <v>1</v>
      </c>
      <c r="W14" s="40" t="s">
        <v>25</v>
      </c>
      <c r="X14" s="41"/>
    </row>
    <row r="15">
      <c r="A15" s="42" t="s">
        <v>26</v>
      </c>
      <c r="B15" s="38" t="b">
        <v>1</v>
      </c>
      <c r="C15" s="38" t="b">
        <v>1</v>
      </c>
      <c r="D15" s="38" t="b">
        <v>1</v>
      </c>
      <c r="E15" s="38" t="b">
        <v>1</v>
      </c>
      <c r="F15" s="38" t="b">
        <v>1</v>
      </c>
      <c r="G15" s="38" t="b">
        <v>1</v>
      </c>
      <c r="H15" s="39" t="b">
        <v>1</v>
      </c>
      <c r="I15" s="30"/>
      <c r="J15" s="42" t="s">
        <v>26</v>
      </c>
      <c r="K15" s="38" t="b">
        <v>1</v>
      </c>
      <c r="L15" s="38" t="b">
        <v>1</v>
      </c>
      <c r="M15" s="38" t="b">
        <v>1</v>
      </c>
      <c r="N15" s="38" t="b">
        <v>1</v>
      </c>
      <c r="O15" s="38" t="b">
        <v>1</v>
      </c>
      <c r="P15" s="38" t="b">
        <v>1</v>
      </c>
      <c r="Q15" s="39" t="b">
        <v>1</v>
      </c>
      <c r="S15" s="43" t="s">
        <v>27</v>
      </c>
      <c r="T15" s="44">
        <f t="shared" ref="T15:U15" si="5">COUNTIF(T5:T14,True)/COUNTA(T5:T14)</f>
        <v>0.7</v>
      </c>
      <c r="U15" s="45">
        <f t="shared" si="5"/>
        <v>0.8</v>
      </c>
      <c r="W15" s="33" t="s">
        <v>28</v>
      </c>
      <c r="X15" s="32" t="b">
        <v>1</v>
      </c>
    </row>
    <row r="16">
      <c r="A16" s="43" t="s">
        <v>27</v>
      </c>
      <c r="B16" s="44">
        <f t="shared" ref="B16:H16" si="6">COUNTIF(B5:B15,True)/COUNTA(B5:B15)</f>
        <v>0.4545454545</v>
      </c>
      <c r="C16" s="44">
        <f t="shared" si="6"/>
        <v>0.5454545455</v>
      </c>
      <c r="D16" s="44">
        <f t="shared" si="6"/>
        <v>0.5454545455</v>
      </c>
      <c r="E16" s="44">
        <f t="shared" si="6"/>
        <v>0.6363636364</v>
      </c>
      <c r="F16" s="44">
        <f t="shared" si="6"/>
        <v>0.5454545455</v>
      </c>
      <c r="G16" s="44">
        <f t="shared" si="6"/>
        <v>0.4545454545</v>
      </c>
      <c r="H16" s="45">
        <f t="shared" si="6"/>
        <v>0.4545454545</v>
      </c>
      <c r="I16" s="21"/>
      <c r="J16" s="46" t="s">
        <v>27</v>
      </c>
      <c r="K16" s="44">
        <f t="shared" ref="K16:Q16" si="7">COUNTIF(K5:K15,True)/COUNTA(K5:K15)</f>
        <v>0.6363636364</v>
      </c>
      <c r="L16" s="44">
        <f t="shared" si="7"/>
        <v>0.5454545455</v>
      </c>
      <c r="M16" s="44">
        <f t="shared" si="7"/>
        <v>0.7272727273</v>
      </c>
      <c r="N16" s="44">
        <f t="shared" si="7"/>
        <v>0.9090909091</v>
      </c>
      <c r="O16" s="47">
        <f t="shared" si="7"/>
        <v>0.9090909091</v>
      </c>
      <c r="P16" s="44">
        <f t="shared" si="7"/>
        <v>1</v>
      </c>
      <c r="Q16" s="45">
        <f t="shared" si="7"/>
        <v>0.9090909091</v>
      </c>
      <c r="S16" s="48" t="s">
        <v>29</v>
      </c>
      <c r="T16" s="49" t="str">
        <f>IFERROR(__xludf.DUMMYFUNCTION("SPARKLINE(T15,{""charttype"",""bar"";""max"",1;""min"",0;""color1"",IF(T15&gt;0.7,""green"",IF(T15&gt;0.5,""yellow"",""red""))})"),"")</f>
        <v/>
      </c>
      <c r="U16" s="50" t="str">
        <f>IFERROR(__xludf.DUMMYFUNCTION("SPARKLINE(U15,{""charttype"",""bar"";""max"",1;""min"",0;""color1"",IF(U15&gt;0.7,""green"",IF(U15&gt;0.5,""yellow"",""red""))})"),"")</f>
        <v/>
      </c>
      <c r="W16" s="33" t="s">
        <v>30</v>
      </c>
      <c r="X16" s="32" t="b">
        <v>1</v>
      </c>
    </row>
    <row r="17">
      <c r="A17" s="51" t="s">
        <v>31</v>
      </c>
      <c r="B17" s="49" t="str">
        <f>IFERROR(__xludf.DUMMYFUNCTION("SPARKLINE(B16,{""charttype"",""bar"";""max"",1;""min"",0;""color1"",IF(B16&gt;0.7,""green"",IF(B16&gt;0.5,""yellow"",""red""))})"),"")</f>
        <v/>
      </c>
      <c r="C17" s="49" t="str">
        <f>IFERROR(__xludf.DUMMYFUNCTION("SPARKLINE(C16,{""charttype"",""bar"";""max"",1;""min"",0;""color1"",IF(C16&gt;0.7,""green"",IF(C16&gt;0.5,""yellow"",""red""))})"),"")</f>
        <v/>
      </c>
      <c r="D17" s="49" t="str">
        <f>IFERROR(__xludf.DUMMYFUNCTION("SPARKLINE(D16,{""charttype"",""bar"";""max"",1;""min"",0;""color1"",IF(D16&gt;0.7,""green"",IF(D16&gt;0.5,""yellow"",""red""))})"),"")</f>
        <v/>
      </c>
      <c r="E17" s="49" t="str">
        <f>IFERROR(__xludf.DUMMYFUNCTION("SPARKLINE(E16,{""charttype"",""bar"";""max"",1;""min"",0;""color1"",IF(E16&gt;0.7,""green"",IF(E16&gt;0.5,""yellow"",""red""))})"),"")</f>
        <v/>
      </c>
      <c r="F17" s="49" t="str">
        <f>IFERROR(__xludf.DUMMYFUNCTION("SPARKLINE(F16,{""charttype"",""bar"";""max"",1;""min"",0;""color1"",IF(F16&gt;0.7,""green"",IF(F16&gt;0.5,""yellow"",""red""))})"),"")</f>
        <v/>
      </c>
      <c r="G17" s="49" t="str">
        <f>IFERROR(__xludf.DUMMYFUNCTION("SPARKLINE(G16,{""charttype"",""bar"";""max"",1;""min"",0;""color1"",IF(G16&gt;0.7,""green"",IF(G16&gt;0.5,""yellow"",""red""))})"),"")</f>
        <v/>
      </c>
      <c r="H17" s="50" t="str">
        <f>IFERROR(__xludf.DUMMYFUNCTION("SPARKLINE(H16,{""charttype"",""bar"";""max"",1;""min"",0;""color1"",IF(H16&gt;0.7,""green"",IF(H16&gt;0.5,""yellow"",""red""))})"),"")</f>
        <v/>
      </c>
      <c r="I17" s="52"/>
      <c r="J17" s="51" t="s">
        <v>31</v>
      </c>
      <c r="K17" s="49" t="str">
        <f>IFERROR(__xludf.DUMMYFUNCTION("SPARKLINE(K16,{""charttype"",""bar"";""max"",1;""min"",0;""color1"",IF(K16&gt;0.7,""green"",IF(K16&gt;0.5,""yellow"",""red""))})"),"")</f>
        <v/>
      </c>
      <c r="L17" s="49" t="str">
        <f>IFERROR(__xludf.DUMMYFUNCTION("SPARKLINE(L16,{""charttype"",""bar"";""max"",1;""min"",0;""color1"",IF(L16&gt;0.7,""green"",IF(L16&gt;0.5,""yellow"",""red""))})"),"")</f>
        <v/>
      </c>
      <c r="M17" s="49" t="str">
        <f>IFERROR(__xludf.DUMMYFUNCTION("SPARKLINE(M16,{""charttype"",""bar"";""max"",1;""min"",0;""color1"",IF(M16&gt;0.7,""green"",IF(M16&gt;0.5,""yellow"",""red""))})"),"")</f>
        <v/>
      </c>
      <c r="N17" s="49" t="str">
        <f>IFERROR(__xludf.DUMMYFUNCTION("SPARKLINE(N16,{""charttype"",""bar"";""max"",1;""min"",0;""color1"",IF(N16&gt;0.7,""green"",IF(N16&gt;0.5,""yellow"",""red""))})"),"")</f>
        <v/>
      </c>
      <c r="O17" s="49" t="str">
        <f>IFERROR(__xludf.DUMMYFUNCTION("SPARKLINE(O16,{""charttype"",""bar"";""max"",1;""min"",0;""color1"",IF(O16&gt;0.7,""green"",IF(O16&gt;0.5,""yellow"",""red""))})"),"")</f>
        <v/>
      </c>
      <c r="P17" s="49" t="str">
        <f>IFERROR(__xludf.DUMMYFUNCTION("SPARKLINE(P16,{""charttype"",""bar"";""max"",1;""min"",0;""color1"",IF(P16&gt;0.7,""green"",IF(P16&gt;0.5,""yellow"",""red""))})"),"")</f>
        <v/>
      </c>
      <c r="Q17" s="50" t="str">
        <f>IFERROR(__xludf.DUMMYFUNCTION("SPARKLINE(Q16,{""charttype"",""bar"";""max"",1;""min"",0;""color1"",IF(Q16&gt;0.7,""green"",IF(Q16&gt;0.5,""yellow"",""red""))})"),"")</f>
        <v/>
      </c>
      <c r="W17" s="33" t="s">
        <v>32</v>
      </c>
      <c r="X17" s="32" t="b">
        <v>1</v>
      </c>
    </row>
    <row r="18">
      <c r="A18" s="51" t="s">
        <v>33</v>
      </c>
      <c r="B18" s="53" t="str">
        <f>IFERROR(__xludf.DUMMYFUNCTION("SPARKLINE((SUM(B16:H16)+3*T15)/10,{""charttype"",""bar"";""max"",1;""min"",0;""color1"",IF((SUM(B16:H16)+3*T15)/10&gt;0.7,""green"",IF((SUM(B16:H16)+3*T15)/10&gt;0.5,""yellow"",""red""))})"),"")</f>
        <v/>
      </c>
      <c r="C18" s="54"/>
      <c r="D18" s="54"/>
      <c r="E18" s="54"/>
      <c r="F18" s="54"/>
      <c r="G18" s="54"/>
      <c r="H18" s="41"/>
      <c r="I18" s="55"/>
      <c r="J18" s="51" t="s">
        <v>33</v>
      </c>
      <c r="K18" s="53" t="str">
        <f>IFERROR(__xludf.DUMMYFUNCTION("SPARKLINE((SUM(K16:Q16)+3*U15)/10,{""charttype"",""bar"";""max"",1;""min"",0;""color1"",IF((SUM(K16:Q16)+3*U15)/10&gt;0.7,""green"",IF((SUM(K16:Q16)+3*U15)/10&gt;0.5,""yellow"",""red""))})"),"")</f>
        <v/>
      </c>
      <c r="L18" s="54"/>
      <c r="M18" s="54"/>
      <c r="N18" s="54"/>
      <c r="O18" s="54"/>
      <c r="P18" s="54"/>
      <c r="Q18" s="41"/>
      <c r="R18" s="56"/>
      <c r="W18" s="37" t="s">
        <v>34</v>
      </c>
      <c r="X18" s="32" t="b">
        <v>1</v>
      </c>
    </row>
    <row r="19">
      <c r="A19" s="57"/>
      <c r="B19" s="58"/>
      <c r="C19" s="58"/>
      <c r="D19" s="58"/>
      <c r="E19" s="58"/>
      <c r="F19" s="58"/>
      <c r="G19" s="58"/>
      <c r="H19" s="58"/>
      <c r="I19" s="55"/>
      <c r="J19" s="59"/>
      <c r="K19" s="58"/>
      <c r="L19" s="58"/>
      <c r="M19" s="58"/>
      <c r="N19" s="58"/>
      <c r="O19" s="58"/>
      <c r="P19" s="58"/>
      <c r="Q19" s="58"/>
      <c r="S19" s="56"/>
      <c r="T19" s="56"/>
      <c r="U19" s="56"/>
      <c r="V19" s="56"/>
      <c r="W19" s="43" t="s">
        <v>27</v>
      </c>
      <c r="X19" s="45">
        <f>COUNTIF(X15:X18,True)/COUNTA(X15:X18)</f>
        <v>1</v>
      </c>
      <c r="Y19" s="56"/>
      <c r="Z19" s="56"/>
    </row>
    <row r="20">
      <c r="A20" s="60" t="s">
        <v>35</v>
      </c>
      <c r="B20" s="14">
        <f>Q3+1</f>
        <v>44886</v>
      </c>
      <c r="C20" s="61">
        <f t="shared" ref="C20:H20" si="8">B20+1</f>
        <v>44887</v>
      </c>
      <c r="D20" s="61">
        <f t="shared" si="8"/>
        <v>44888</v>
      </c>
      <c r="E20" s="61">
        <f t="shared" si="8"/>
        <v>44889</v>
      </c>
      <c r="F20" s="61">
        <f t="shared" si="8"/>
        <v>44890</v>
      </c>
      <c r="G20" s="61">
        <f t="shared" si="8"/>
        <v>44891</v>
      </c>
      <c r="H20" s="62">
        <f t="shared" si="8"/>
        <v>44892</v>
      </c>
      <c r="I20" s="52"/>
      <c r="J20" s="63" t="s">
        <v>36</v>
      </c>
      <c r="K20" s="61">
        <f>H20+1</f>
        <v>44893</v>
      </c>
      <c r="L20" s="61">
        <f t="shared" ref="L20:Q20" si="9">K20+1</f>
        <v>44894</v>
      </c>
      <c r="M20" s="61">
        <f t="shared" si="9"/>
        <v>44895</v>
      </c>
      <c r="N20" s="61">
        <f t="shared" si="9"/>
        <v>44896</v>
      </c>
      <c r="O20" s="61">
        <f t="shared" si="9"/>
        <v>44897</v>
      </c>
      <c r="P20" s="61">
        <f t="shared" si="9"/>
        <v>44898</v>
      </c>
      <c r="Q20" s="62">
        <f t="shared" si="9"/>
        <v>44899</v>
      </c>
      <c r="W20" s="48" t="s">
        <v>29</v>
      </c>
      <c r="X20" s="50" t="str">
        <f>IFERROR(__xludf.DUMMYFUNCTION("SPARKLINE(X19,{""charttype"",""bar"";""max"",1;""min"",0;""color1"",IF(X19&gt;0.7,""green"",IF(X19&gt;0.5,""yellow"",""red""))})"),"")</f>
        <v/>
      </c>
    </row>
    <row r="21">
      <c r="A21" s="18" t="s">
        <v>3</v>
      </c>
      <c r="B21" s="19" t="str">
        <f t="shared" ref="B21:H21" si="10">CHOOSE(WEEKDAY(B20,2),"Mon","Tue","Wed","Thu","Fri","Sat","Sun")</f>
        <v>Mon</v>
      </c>
      <c r="C21" s="19" t="str">
        <f t="shared" si="10"/>
        <v>Tue</v>
      </c>
      <c r="D21" s="19" t="str">
        <f t="shared" si="10"/>
        <v>Wed</v>
      </c>
      <c r="E21" s="19" t="str">
        <f t="shared" si="10"/>
        <v>Thu</v>
      </c>
      <c r="F21" s="19" t="str">
        <f t="shared" si="10"/>
        <v>Fri</v>
      </c>
      <c r="G21" s="19" t="str">
        <f t="shared" si="10"/>
        <v>Sat</v>
      </c>
      <c r="H21" s="20" t="str">
        <f t="shared" si="10"/>
        <v>Sun</v>
      </c>
      <c r="I21" s="21"/>
      <c r="J21" s="64" t="s">
        <v>3</v>
      </c>
      <c r="K21" s="19" t="str">
        <f t="shared" ref="K21:Q21" si="11">CHOOSE(WEEKDAY(K20,2),"Mon","Tue","Wed","Thu","Fri","Sat","Sun")</f>
        <v>Mon</v>
      </c>
      <c r="L21" s="19" t="str">
        <f t="shared" si="11"/>
        <v>Tue</v>
      </c>
      <c r="M21" s="19" t="str">
        <f t="shared" si="11"/>
        <v>Wed</v>
      </c>
      <c r="N21" s="19" t="str">
        <f t="shared" si="11"/>
        <v>Thu</v>
      </c>
      <c r="O21" s="19" t="str">
        <f t="shared" si="11"/>
        <v>Fri</v>
      </c>
      <c r="P21" s="19" t="str">
        <f t="shared" si="11"/>
        <v>Sat</v>
      </c>
      <c r="Q21" s="20" t="str">
        <f t="shared" si="11"/>
        <v>Sun</v>
      </c>
      <c r="S21" s="22" t="s">
        <v>4</v>
      </c>
      <c r="T21" s="23" t="s">
        <v>35</v>
      </c>
      <c r="U21" s="24" t="s">
        <v>36</v>
      </c>
    </row>
    <row r="22">
      <c r="A22" s="36" t="s">
        <v>5</v>
      </c>
      <c r="B22" s="26" t="b">
        <v>1</v>
      </c>
      <c r="C22" s="26" t="b">
        <v>1</v>
      </c>
      <c r="D22" s="26" t="b">
        <v>1</v>
      </c>
      <c r="E22" s="65" t="b">
        <v>0</v>
      </c>
      <c r="F22" s="26" t="b">
        <v>1</v>
      </c>
      <c r="G22" s="26" t="b">
        <v>1</v>
      </c>
      <c r="H22" s="29" t="b">
        <v>0</v>
      </c>
      <c r="I22" s="30"/>
      <c r="J22" s="31" t="s">
        <v>5</v>
      </c>
      <c r="K22" s="26" t="b">
        <v>1</v>
      </c>
      <c r="L22" s="27" t="b">
        <v>0</v>
      </c>
      <c r="M22" s="27" t="b">
        <v>0</v>
      </c>
      <c r="N22" s="27" t="b">
        <v>0</v>
      </c>
      <c r="O22" s="27" t="b">
        <v>0</v>
      </c>
      <c r="P22" s="27" t="b">
        <v>0</v>
      </c>
      <c r="Q22" s="32" t="b">
        <v>0</v>
      </c>
      <c r="S22" s="33" t="s">
        <v>6</v>
      </c>
      <c r="T22" s="26" t="b">
        <v>1</v>
      </c>
      <c r="U22" s="32" t="b">
        <v>1</v>
      </c>
    </row>
    <row r="23">
      <c r="A23" s="36" t="s">
        <v>7</v>
      </c>
      <c r="B23" s="26" t="b">
        <v>1</v>
      </c>
      <c r="C23" s="26" t="b">
        <v>1</v>
      </c>
      <c r="D23" s="26" t="b">
        <v>0</v>
      </c>
      <c r="E23" s="27" t="b">
        <v>0</v>
      </c>
      <c r="F23" s="27" t="b">
        <v>0</v>
      </c>
      <c r="G23" s="26" t="b">
        <v>1</v>
      </c>
      <c r="H23" s="32" t="b">
        <v>0</v>
      </c>
      <c r="I23" s="30"/>
      <c r="J23" s="31" t="s">
        <v>7</v>
      </c>
      <c r="K23" s="26" t="b">
        <v>1</v>
      </c>
      <c r="L23" s="27" t="b">
        <v>0</v>
      </c>
      <c r="M23" s="27" t="b">
        <v>0</v>
      </c>
      <c r="N23" s="27" t="b">
        <v>0</v>
      </c>
      <c r="O23" s="27" t="b">
        <v>0</v>
      </c>
      <c r="P23" s="27" t="b">
        <v>0</v>
      </c>
      <c r="Q23" s="29" t="b">
        <v>0</v>
      </c>
      <c r="S23" s="33" t="s">
        <v>8</v>
      </c>
      <c r="T23" s="26" t="b">
        <v>1</v>
      </c>
      <c r="U23" s="32" t="b">
        <v>1</v>
      </c>
    </row>
    <row r="24">
      <c r="A24" s="31" t="s">
        <v>9</v>
      </c>
      <c r="B24" s="26" t="b">
        <v>1</v>
      </c>
      <c r="C24" s="26" t="b">
        <v>1</v>
      </c>
      <c r="D24" s="26" t="b">
        <v>1</v>
      </c>
      <c r="E24" s="28" t="b">
        <v>1</v>
      </c>
      <c r="F24" s="26" t="b">
        <v>1</v>
      </c>
      <c r="G24" s="26" t="b">
        <v>1</v>
      </c>
      <c r="H24" s="32" t="b">
        <v>1</v>
      </c>
      <c r="I24" s="30"/>
      <c r="J24" s="31" t="s">
        <v>9</v>
      </c>
      <c r="K24" s="26" t="b">
        <v>1</v>
      </c>
      <c r="L24" s="26" t="b">
        <v>1</v>
      </c>
      <c r="M24" s="26" t="b">
        <v>1</v>
      </c>
      <c r="N24" s="26" t="b">
        <v>1</v>
      </c>
      <c r="O24" s="26" t="b">
        <v>1</v>
      </c>
      <c r="P24" s="26" t="b">
        <v>1</v>
      </c>
      <c r="Q24" s="32" t="b">
        <v>1</v>
      </c>
      <c r="S24" s="33" t="s">
        <v>10</v>
      </c>
      <c r="T24" s="26" t="b">
        <v>1</v>
      </c>
      <c r="U24" s="32" t="b">
        <v>1</v>
      </c>
    </row>
    <row r="25">
      <c r="A25" s="36" t="s">
        <v>11</v>
      </c>
      <c r="B25" s="26" t="b">
        <v>1</v>
      </c>
      <c r="C25" s="26" t="b">
        <v>1</v>
      </c>
      <c r="D25" s="26" t="b">
        <v>1</v>
      </c>
      <c r="E25" s="26" t="b">
        <v>1</v>
      </c>
      <c r="F25" s="26" t="b">
        <v>1</v>
      </c>
      <c r="G25" s="26" t="b">
        <v>1</v>
      </c>
      <c r="H25" s="32" t="b">
        <v>1</v>
      </c>
      <c r="I25" s="30"/>
      <c r="J25" s="31" t="s">
        <v>11</v>
      </c>
      <c r="K25" s="26" t="b">
        <v>1</v>
      </c>
      <c r="L25" s="26" t="b">
        <v>1</v>
      </c>
      <c r="M25" s="26" t="b">
        <v>1</v>
      </c>
      <c r="N25" s="26" t="b">
        <v>1</v>
      </c>
      <c r="O25" s="26" t="b">
        <v>1</v>
      </c>
      <c r="P25" s="27" t="b">
        <v>0</v>
      </c>
      <c r="Q25" s="32" t="b">
        <v>1</v>
      </c>
      <c r="S25" s="33" t="s">
        <v>12</v>
      </c>
      <c r="T25" s="26" t="b">
        <v>1</v>
      </c>
      <c r="U25" s="32" t="b">
        <v>1</v>
      </c>
    </row>
    <row r="26">
      <c r="A26" s="34" t="s">
        <v>13</v>
      </c>
      <c r="B26" s="26" t="b">
        <v>1</v>
      </c>
      <c r="C26" s="26" t="b">
        <v>1</v>
      </c>
      <c r="D26" s="26" t="b">
        <v>1</v>
      </c>
      <c r="E26" s="26" t="b">
        <v>1</v>
      </c>
      <c r="F26" s="26" t="b">
        <v>1</v>
      </c>
      <c r="G26" s="26" t="b">
        <v>1</v>
      </c>
      <c r="H26" s="32" t="b">
        <v>1</v>
      </c>
      <c r="I26" s="30"/>
      <c r="J26" s="66" t="s">
        <v>13</v>
      </c>
      <c r="K26" s="26" t="b">
        <v>1</v>
      </c>
      <c r="L26" s="26" t="b">
        <v>1</v>
      </c>
      <c r="M26" s="26" t="b">
        <v>1</v>
      </c>
      <c r="N26" s="26" t="b">
        <v>1</v>
      </c>
      <c r="O26" s="26" t="b">
        <v>1</v>
      </c>
      <c r="P26" s="26" t="b">
        <v>1</v>
      </c>
      <c r="Q26" s="32" t="b">
        <v>1</v>
      </c>
      <c r="S26" s="33" t="s">
        <v>14</v>
      </c>
      <c r="T26" s="26" t="b">
        <v>0</v>
      </c>
      <c r="U26" s="32" t="b">
        <v>0</v>
      </c>
    </row>
    <row r="27">
      <c r="A27" s="31" t="s">
        <v>15</v>
      </c>
      <c r="B27" s="26" t="b">
        <v>1</v>
      </c>
      <c r="C27" s="26" t="b">
        <v>1</v>
      </c>
      <c r="D27" s="26" t="b">
        <v>1</v>
      </c>
      <c r="E27" s="26" t="b">
        <v>1</v>
      </c>
      <c r="F27" s="26" t="b">
        <v>1</v>
      </c>
      <c r="G27" s="26" t="b">
        <v>1</v>
      </c>
      <c r="H27" s="32" t="b">
        <v>1</v>
      </c>
      <c r="I27" s="30"/>
      <c r="J27" s="36" t="s">
        <v>37</v>
      </c>
      <c r="K27" s="26" t="b">
        <v>1</v>
      </c>
      <c r="L27" s="27" t="b">
        <v>0</v>
      </c>
      <c r="M27" s="27" t="b">
        <v>0</v>
      </c>
      <c r="N27" s="27" t="b">
        <v>0</v>
      </c>
      <c r="O27" s="27" t="b">
        <v>0</v>
      </c>
      <c r="P27" s="26" t="b">
        <v>1</v>
      </c>
      <c r="Q27" s="32" t="b">
        <v>1</v>
      </c>
      <c r="S27" s="33" t="s">
        <v>16</v>
      </c>
      <c r="T27" s="26" t="b">
        <v>1</v>
      </c>
      <c r="U27" s="32" t="b">
        <v>1</v>
      </c>
    </row>
    <row r="28">
      <c r="A28" s="36" t="s">
        <v>17</v>
      </c>
      <c r="B28" s="26" t="b">
        <v>1</v>
      </c>
      <c r="C28" s="26" t="b">
        <v>1</v>
      </c>
      <c r="D28" s="26" t="b">
        <v>0</v>
      </c>
      <c r="E28" s="27" t="b">
        <v>0</v>
      </c>
      <c r="F28" s="27" t="b">
        <v>0</v>
      </c>
      <c r="G28" s="26" t="b">
        <v>1</v>
      </c>
      <c r="H28" s="32" t="b">
        <v>1</v>
      </c>
      <c r="I28" s="30"/>
      <c r="J28" s="36" t="s">
        <v>17</v>
      </c>
      <c r="K28" s="26" t="b">
        <v>1</v>
      </c>
      <c r="L28" s="27" t="b">
        <v>0</v>
      </c>
      <c r="M28" s="27" t="b">
        <v>0</v>
      </c>
      <c r="N28" s="27" t="b">
        <v>0</v>
      </c>
      <c r="O28" s="27" t="b">
        <v>0</v>
      </c>
      <c r="P28" s="27" t="b">
        <v>0</v>
      </c>
      <c r="Q28" s="29" t="b">
        <v>0</v>
      </c>
      <c r="S28" s="33" t="s">
        <v>18</v>
      </c>
      <c r="T28" s="26" t="b">
        <v>1</v>
      </c>
      <c r="U28" s="32" t="b">
        <v>1</v>
      </c>
    </row>
    <row r="29">
      <c r="A29" s="36" t="s">
        <v>19</v>
      </c>
      <c r="B29" s="26" t="b">
        <v>1</v>
      </c>
      <c r="C29" s="26" t="b">
        <v>1</v>
      </c>
      <c r="D29" s="26" t="b">
        <v>0</v>
      </c>
      <c r="E29" s="26" t="b">
        <v>1</v>
      </c>
      <c r="F29" s="26" t="b">
        <v>1</v>
      </c>
      <c r="G29" s="26" t="b">
        <v>0</v>
      </c>
      <c r="H29" s="32" t="b">
        <v>1</v>
      </c>
      <c r="I29" s="30"/>
      <c r="J29" s="31" t="s">
        <v>19</v>
      </c>
      <c r="K29" s="26" t="b">
        <v>1</v>
      </c>
      <c r="L29" s="27" t="b">
        <v>0</v>
      </c>
      <c r="M29" s="26" t="b">
        <v>1</v>
      </c>
      <c r="N29" s="26" t="b">
        <v>1</v>
      </c>
      <c r="O29" s="26" t="b">
        <v>1</v>
      </c>
      <c r="P29" s="26" t="b">
        <v>1</v>
      </c>
      <c r="Q29" s="29" t="b">
        <v>0</v>
      </c>
      <c r="S29" s="33" t="s">
        <v>20</v>
      </c>
      <c r="T29" s="26" t="b">
        <v>1</v>
      </c>
      <c r="U29" s="32" t="b">
        <v>1</v>
      </c>
    </row>
    <row r="30">
      <c r="A30" s="36" t="s">
        <v>21</v>
      </c>
      <c r="B30" s="26" t="b">
        <v>1</v>
      </c>
      <c r="C30" s="26" t="b">
        <v>1</v>
      </c>
      <c r="D30" s="26" t="b">
        <v>0</v>
      </c>
      <c r="E30" s="26" t="b">
        <v>1</v>
      </c>
      <c r="F30" s="26" t="b">
        <v>1</v>
      </c>
      <c r="G30" s="26" t="b">
        <v>1</v>
      </c>
      <c r="H30" s="32" t="b">
        <v>0</v>
      </c>
      <c r="I30" s="30"/>
      <c r="J30" s="31" t="s">
        <v>21</v>
      </c>
      <c r="K30" s="26" t="b">
        <v>1</v>
      </c>
      <c r="L30" s="27" t="b">
        <v>0</v>
      </c>
      <c r="M30" s="27" t="b">
        <v>0</v>
      </c>
      <c r="N30" s="27" t="b">
        <v>0</v>
      </c>
      <c r="O30" s="26" t="b">
        <v>1</v>
      </c>
      <c r="P30" s="26" t="b">
        <v>1</v>
      </c>
      <c r="Q30" s="29" t="b">
        <v>0</v>
      </c>
      <c r="S30" s="33" t="s">
        <v>22</v>
      </c>
      <c r="T30" s="26" t="b">
        <v>1</v>
      </c>
      <c r="U30" s="32" t="b">
        <v>1</v>
      </c>
    </row>
    <row r="31">
      <c r="A31" s="36" t="s">
        <v>23</v>
      </c>
      <c r="B31" s="26" t="b">
        <v>1</v>
      </c>
      <c r="C31" s="26" t="b">
        <v>1</v>
      </c>
      <c r="D31" s="26" t="b">
        <v>0</v>
      </c>
      <c r="E31" s="27" t="b">
        <v>0</v>
      </c>
      <c r="F31" s="27" t="b">
        <v>0</v>
      </c>
      <c r="G31" s="26" t="b">
        <v>1</v>
      </c>
      <c r="H31" s="32" t="b">
        <v>0</v>
      </c>
      <c r="I31" s="30"/>
      <c r="J31" s="31" t="s">
        <v>23</v>
      </c>
      <c r="K31" s="27" t="b">
        <v>0</v>
      </c>
      <c r="L31" s="27" t="b">
        <v>0</v>
      </c>
      <c r="M31" s="27" t="b">
        <v>0</v>
      </c>
      <c r="N31" s="27" t="b">
        <v>0</v>
      </c>
      <c r="O31" s="26" t="b">
        <v>1</v>
      </c>
      <c r="P31" s="27" t="b">
        <v>0</v>
      </c>
      <c r="Q31" s="29" t="b">
        <v>0</v>
      </c>
      <c r="S31" s="37" t="s">
        <v>24</v>
      </c>
      <c r="T31" s="38" t="b">
        <v>1</v>
      </c>
      <c r="U31" s="39" t="b">
        <v>0</v>
      </c>
    </row>
    <row r="32">
      <c r="A32" s="42" t="s">
        <v>26</v>
      </c>
      <c r="B32" s="38" t="b">
        <v>1</v>
      </c>
      <c r="C32" s="38" t="b">
        <v>1</v>
      </c>
      <c r="D32" s="38" t="b">
        <v>1</v>
      </c>
      <c r="E32" s="38" t="b">
        <v>1</v>
      </c>
      <c r="F32" s="38" t="b">
        <v>1</v>
      </c>
      <c r="G32" s="38" t="b">
        <v>1</v>
      </c>
      <c r="H32" s="39" t="b">
        <v>1</v>
      </c>
      <c r="I32" s="30"/>
      <c r="J32" s="42" t="s">
        <v>26</v>
      </c>
      <c r="K32" s="38" t="b">
        <v>1</v>
      </c>
      <c r="L32" s="38" t="b">
        <v>1</v>
      </c>
      <c r="M32" s="67" t="b">
        <v>0</v>
      </c>
      <c r="N32" s="67" t="b">
        <v>0</v>
      </c>
      <c r="O32" s="67" t="b">
        <v>0</v>
      </c>
      <c r="P32" s="38" t="b">
        <v>1</v>
      </c>
      <c r="Q32" s="39" t="b">
        <v>1</v>
      </c>
      <c r="S32" s="43" t="s">
        <v>27</v>
      </c>
      <c r="T32" s="68">
        <f t="shared" ref="T32:U32" si="12">COUNTIF(T22:T31,True)/COUNTA(T22:T31)</f>
        <v>0.9</v>
      </c>
      <c r="U32" s="69">
        <f t="shared" si="12"/>
        <v>0.8</v>
      </c>
    </row>
    <row r="33">
      <c r="A33" s="43" t="s">
        <v>27</v>
      </c>
      <c r="B33" s="44">
        <f t="shared" ref="B33:H33" si="13">COUNTIF(B22:B32,True)/COUNTA(B22:B32)</f>
        <v>1</v>
      </c>
      <c r="C33" s="44">
        <f t="shared" si="13"/>
        <v>1</v>
      </c>
      <c r="D33" s="44">
        <f t="shared" si="13"/>
        <v>0.5454545455</v>
      </c>
      <c r="E33" s="44">
        <f t="shared" si="13"/>
        <v>0.6363636364</v>
      </c>
      <c r="F33" s="44">
        <f t="shared" si="13"/>
        <v>0.7272727273</v>
      </c>
      <c r="G33" s="44">
        <f t="shared" si="13"/>
        <v>0.9090909091</v>
      </c>
      <c r="H33" s="45">
        <f t="shared" si="13"/>
        <v>0.6363636364</v>
      </c>
      <c r="I33" s="21"/>
      <c r="J33" s="46" t="s">
        <v>27</v>
      </c>
      <c r="K33" s="44">
        <f t="shared" ref="K33:Q33" si="14">COUNTIF(K22:K32,True)/COUNTA(K22:K32)</f>
        <v>0.9090909091</v>
      </c>
      <c r="L33" s="44">
        <f t="shared" si="14"/>
        <v>0.3636363636</v>
      </c>
      <c r="M33" s="44">
        <f t="shared" si="14"/>
        <v>0.3636363636</v>
      </c>
      <c r="N33" s="44">
        <f t="shared" si="14"/>
        <v>0.3636363636</v>
      </c>
      <c r="O33" s="44">
        <f t="shared" si="14"/>
        <v>0.5454545455</v>
      </c>
      <c r="P33" s="44">
        <f t="shared" si="14"/>
        <v>0.5454545455</v>
      </c>
      <c r="Q33" s="45">
        <f t="shared" si="14"/>
        <v>0.4545454545</v>
      </c>
      <c r="S33" s="48" t="s">
        <v>29</v>
      </c>
      <c r="T33" s="49" t="str">
        <f>IFERROR(__xludf.DUMMYFUNCTION("SPARKLINE(T32,{""charttype"",""bar"";""max"",1;""min"",0;""color1"",IF(T32&gt;0.7,""green"",IF(T32&gt;0.5,""yellow"",""red""))})"),"")</f>
        <v/>
      </c>
      <c r="U33" s="50" t="str">
        <f>IFERROR(__xludf.DUMMYFUNCTION("SPARKLINE(U32,{""charttype"",""bar"";""max"",1;""min"",0;""color1"",IF(U32&gt;0.7,""green"",IF(U32&gt;0.5,""yellow"",""red""))})"),"")</f>
        <v/>
      </c>
    </row>
    <row r="34">
      <c r="A34" s="51" t="s">
        <v>31</v>
      </c>
      <c r="B34" s="49" t="str">
        <f>IFERROR(__xludf.DUMMYFUNCTION("SPARKLINE(B33,{""charttype"",""bar"";""max"",1;""min"",0;""color1"",IF(B33&gt;0.7,""green"",IF(B33&gt;0.5,""yellow"",""red""))})"),"")</f>
        <v/>
      </c>
      <c r="C34" s="49" t="str">
        <f>IFERROR(__xludf.DUMMYFUNCTION("SPARKLINE(C33,{""charttype"",""bar"";""max"",1;""min"",0;""color1"",IF(C33&gt;0.7,""green"",IF(C33&gt;0.5,""yellow"",""red""))})"),"")</f>
        <v/>
      </c>
      <c r="D34" s="49" t="str">
        <f>IFERROR(__xludf.DUMMYFUNCTION("SPARKLINE(D33,{""charttype"",""bar"";""max"",1;""min"",0;""color1"",IF(D33&gt;0.7,""green"",IF(D33&gt;0.5,""yellow"",""red""))})"),"")</f>
        <v/>
      </c>
      <c r="E34" s="49" t="str">
        <f>IFERROR(__xludf.DUMMYFUNCTION("SPARKLINE(E33,{""charttype"",""bar"";""max"",1;""min"",0;""color1"",IF(E33&gt;0.7,""green"",IF(E33&gt;0.5,""yellow"",""red""))})"),"")</f>
        <v/>
      </c>
      <c r="F34" s="49" t="str">
        <f>IFERROR(__xludf.DUMMYFUNCTION("SPARKLINE(F33,{""charttype"",""bar"";""max"",1;""min"",0;""color1"",IF(F33&gt;0.7,""green"",IF(F33&gt;0.5,""yellow"",""red""))})"),"")</f>
        <v/>
      </c>
      <c r="G34" s="49" t="str">
        <f>IFERROR(__xludf.DUMMYFUNCTION("SPARKLINE(G33,{""charttype"",""bar"";""max"",1;""min"",0;""color1"",IF(G33&gt;0.7,""green"",IF(G33&gt;0.5,""yellow"",""red""))})"),"")</f>
        <v/>
      </c>
      <c r="H34" s="50" t="str">
        <f>IFERROR(__xludf.DUMMYFUNCTION("SPARKLINE(H33,{""charttype"",""bar"";""max"",1;""min"",0;""color1"",IF(H33&gt;0.7,""green"",IF(H33&gt;0.5,""yellow"",""red""))})"),"")</f>
        <v/>
      </c>
      <c r="J34" s="51" t="s">
        <v>31</v>
      </c>
      <c r="K34" s="49" t="str">
        <f>IFERROR(__xludf.DUMMYFUNCTION("SPARKLINE(K33,{""charttype"",""bar"";""max"",1;""min"",0;""color1"",IF(K33&gt;0.7,""green"",IF(K33&gt;0.5,""yellow"",""red""))})"),"")</f>
        <v/>
      </c>
      <c r="L34" s="49" t="str">
        <f>IFERROR(__xludf.DUMMYFUNCTION("SPARKLINE(L33,{""charttype"",""bar"";""max"",1;""min"",0;""color1"",IF(L33&gt;0.7,""green"",IF(L33&gt;0.5,""yellow"",""red""))})"),"")</f>
        <v/>
      </c>
      <c r="M34" s="49" t="str">
        <f>IFERROR(__xludf.DUMMYFUNCTION("SPARKLINE(M33,{""charttype"",""bar"";""max"",1;""min"",0;""color1"",IF(M33&gt;0.7,""green"",IF(M33&gt;0.5,""yellow"",""red""))})"),"")</f>
        <v/>
      </c>
      <c r="N34" s="49" t="str">
        <f>IFERROR(__xludf.DUMMYFUNCTION("SPARKLINE(N33,{""charttype"",""bar"";""max"",1;""min"",0;""color1"",IF(N33&gt;0.7,""green"",IF(N33&gt;0.5,""yellow"",""red""))})"),"")</f>
        <v/>
      </c>
      <c r="O34" s="49" t="str">
        <f>IFERROR(__xludf.DUMMYFUNCTION("SPARKLINE(O33,{""charttype"",""bar"";""max"",1;""min"",0;""color1"",IF(O33&gt;0.7,""green"",IF(O33&gt;0.5,""yellow"",""red""))})"),"")</f>
        <v/>
      </c>
      <c r="P34" s="49" t="str">
        <f>IFERROR(__xludf.DUMMYFUNCTION("SPARKLINE(P33,{""charttype"",""bar"";""max"",1;""min"",0;""color1"",IF(P33&gt;0.7,""green"",IF(P33&gt;0.5,""yellow"",""red""))})"),"")</f>
        <v/>
      </c>
      <c r="Q34" s="50" t="str">
        <f>IFERROR(__xludf.DUMMYFUNCTION("SPARKLINE(Q33,{""charttype"",""bar"";""max"",1;""min"",0;""color1"",IF(Q33&gt;0.7,""green"",IF(Q33&gt;0.5,""yellow"",""red""))})"),"")</f>
        <v/>
      </c>
    </row>
    <row r="35">
      <c r="A35" s="51" t="s">
        <v>33</v>
      </c>
      <c r="B35" s="53" t="str">
        <f>IFERROR(__xludf.DUMMYFUNCTION("SPARKLINE((SUM(B33:H33)+3*T32)/10,{""charttype"",""bar"";""max"",1;""min"",0;""color1"",IF((SUM(B33:H33)+3*T32)/10&gt;0.7,""green"",IF((SUM(B33:H33)+3*T32)/10&gt;0.5,""yellow"",""red""))})"),"")</f>
        <v/>
      </c>
      <c r="C35" s="54"/>
      <c r="D35" s="54"/>
      <c r="E35" s="54"/>
      <c r="F35" s="54"/>
      <c r="G35" s="54"/>
      <c r="H35" s="41"/>
      <c r="J35" s="51" t="s">
        <v>33</v>
      </c>
      <c r="K35" s="53" t="str">
        <f>IFERROR(__xludf.DUMMYFUNCTION("SPARKLINE((SUM(K33:Q33)+3*U32)/10,{""charttype"",""bar"";""max"",1;""min"",0;""color1"",IF((SUM(K33:Q33)+3*U32)/10&gt;0.7,""green"",IF((SUM(K33:Q33)+3*U32)/10&gt;0.5,""yellow"",""red""))})"),"")</f>
        <v/>
      </c>
      <c r="L35" s="54"/>
      <c r="M35" s="54"/>
      <c r="N35" s="54"/>
      <c r="O35" s="54"/>
      <c r="P35" s="54"/>
      <c r="Q35" s="41"/>
    </row>
    <row r="53">
      <c r="M53" s="56"/>
      <c r="N53" s="56"/>
      <c r="O53" s="56"/>
      <c r="P53" s="56"/>
      <c r="Q53" s="56"/>
    </row>
    <row r="54">
      <c r="M54" s="56"/>
      <c r="N54" s="56"/>
      <c r="O54" s="56"/>
      <c r="P54" s="56"/>
      <c r="Q54" s="56"/>
    </row>
    <row r="55">
      <c r="M55" s="56"/>
      <c r="N55" s="56"/>
      <c r="O55" s="56"/>
      <c r="P55" s="56"/>
      <c r="Q55" s="56"/>
    </row>
    <row r="56">
      <c r="M56" s="56"/>
      <c r="N56" s="70"/>
      <c r="O56" s="71"/>
      <c r="P56" s="71"/>
      <c r="Q56" s="56"/>
    </row>
    <row r="57">
      <c r="M57" s="56"/>
      <c r="N57" s="56"/>
      <c r="O57" s="56"/>
      <c r="P57" s="56"/>
      <c r="Q57" s="56"/>
    </row>
    <row r="58">
      <c r="M58" s="56"/>
      <c r="N58" s="56"/>
      <c r="O58" s="56"/>
      <c r="P58" s="56"/>
      <c r="Q58" s="56"/>
    </row>
  </sheetData>
  <mergeCells count="9">
    <mergeCell ref="B35:H35"/>
    <mergeCell ref="K35:Q35"/>
    <mergeCell ref="C1:Q2"/>
    <mergeCell ref="R1:R2"/>
    <mergeCell ref="S1:S2"/>
    <mergeCell ref="T1:U2"/>
    <mergeCell ref="W14:X14"/>
    <mergeCell ref="B18:H18"/>
    <mergeCell ref="K18:Q18"/>
  </mergeCells>
  <conditionalFormatting sqref="R1">
    <cfRule type="cellIs" dxfId="0" priority="1" operator="between">
      <formula>0.251</formula>
      <formula>0.5</formula>
    </cfRule>
  </conditionalFormatting>
  <conditionalFormatting sqref="B16:H16 K16:Q16 K33:Q33 B33:H33">
    <cfRule type="cellIs" dxfId="1" priority="2" operator="between">
      <formula>0.1</formula>
      <formula>0.25</formula>
    </cfRule>
  </conditionalFormatting>
  <conditionalFormatting sqref="B16:H16 K16:Q16 K33:Q33 B33:H33">
    <cfRule type="cellIs" dxfId="0" priority="3" operator="between">
      <formula>0.26</formula>
      <formula>0.5</formula>
    </cfRule>
  </conditionalFormatting>
  <conditionalFormatting sqref="B16:H16 K16:Q16 K33:Q33 B33:H33">
    <cfRule type="cellIs" dxfId="2" priority="4" operator="between">
      <formula>0.51</formula>
      <formula>0.7</formula>
    </cfRule>
  </conditionalFormatting>
  <conditionalFormatting sqref="R1 B16:H16 K16:Q16 B33:H33 K33:Q33">
    <cfRule type="cellIs" dxfId="3" priority="5" operator="between">
      <formula>0.71</formula>
      <formula>0.99</formula>
    </cfRule>
  </conditionalFormatting>
  <conditionalFormatting sqref="B5:H15 K5:Q15 B22:H32 K22:Q32">
    <cfRule type="cellIs" dxfId="3" priority="6" operator="equal">
      <formula>"TRUE"</formula>
    </cfRule>
  </conditionalFormatting>
  <conditionalFormatting sqref="T5:U14 X15:X18 T22:U31">
    <cfRule type="cellIs" dxfId="3" priority="7" operator="equal">
      <formula>"TRUE"</formula>
    </cfRule>
  </conditionalFormatting>
  <conditionalFormatting sqref="T15:U15 X19 T32:U32">
    <cfRule type="cellIs" dxfId="1" priority="8" operator="between">
      <formula>0.1</formula>
      <formula>0.25</formula>
    </cfRule>
  </conditionalFormatting>
  <conditionalFormatting sqref="T15:U15 X19 T32:U32">
    <cfRule type="cellIs" dxfId="0" priority="9" operator="between">
      <formula>0.26</formula>
      <formula>0.5</formula>
    </cfRule>
  </conditionalFormatting>
  <conditionalFormatting sqref="T15:U15 X19 T32:U32">
    <cfRule type="cellIs" dxfId="2" priority="10" operator="between">
      <formula>0.51</formula>
      <formula>0.75</formula>
    </cfRule>
  </conditionalFormatting>
  <conditionalFormatting sqref="T15:U15 X19 T32:U32">
    <cfRule type="cellIs" dxfId="4" priority="11" operator="between">
      <formula>0.76</formula>
      <formula>0.99</formula>
    </cfRule>
  </conditionalFormatting>
  <conditionalFormatting sqref="T15:U15 X19 T32:U32">
    <cfRule type="cellIs" dxfId="5" priority="12" operator="greaterThanOrEqual">
      <formula>1</formula>
    </cfRule>
  </conditionalFormatting>
  <conditionalFormatting sqref="K16:Q16 K33:Q33 B33:H33 B16:H16">
    <cfRule type="cellIs" dxfId="5" priority="13" operator="greaterThanOrEqual">
      <formula>1</formula>
    </cfRule>
  </conditionalFormatting>
  <conditionalFormatting sqref="R1:R2">
    <cfRule type="cellIs" dxfId="6" priority="14" operator="between">
      <formula>0</formula>
      <formula>0.05</formula>
    </cfRule>
  </conditionalFormatting>
  <conditionalFormatting sqref="R1:R2">
    <cfRule type="cellIs" dxfId="1" priority="15" operator="between">
      <formula>0.05</formula>
      <formula>0.25</formula>
    </cfRule>
  </conditionalFormatting>
  <conditionalFormatting sqref="R1:R2">
    <cfRule type="cellIs" dxfId="0" priority="16" operator="between">
      <formula>0.26</formula>
      <formula>0.5</formula>
    </cfRule>
  </conditionalFormatting>
  <conditionalFormatting sqref="R1:R2">
    <cfRule type="cellIs" dxfId="2" priority="17" operator="between">
      <formula>0.51</formula>
      <formula>0.75</formula>
    </cfRule>
  </conditionalFormatting>
  <conditionalFormatting sqref="R1:R2">
    <cfRule type="cellIs" dxfId="3" priority="18" operator="between">
      <formula>0.76</formula>
      <formula>0.99</formula>
    </cfRule>
  </conditionalFormatting>
  <conditionalFormatting sqref="R1:R2">
    <cfRule type="cellIs" dxfId="5" priority="19" operator="greaterThanOr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  <col customWidth="1" min="2" max="2" width="8.38"/>
    <col customWidth="1" min="3" max="8" width="7.38"/>
    <col customWidth="1" min="9" max="9" width="5.0"/>
    <col customWidth="1" min="10" max="10" width="18.5"/>
    <col customWidth="1" min="11" max="13" width="7.38"/>
    <col customWidth="1" min="14" max="14" width="10.5"/>
    <col customWidth="1" min="15" max="17" width="7.38"/>
    <col customWidth="1" min="18" max="18" width="11.88"/>
    <col customWidth="1" min="19" max="19" width="16.25"/>
    <col customWidth="1" min="20" max="20" width="6.63"/>
    <col customWidth="1" min="21" max="21" width="6.75"/>
    <col customWidth="1" min="22" max="22" width="4.25"/>
    <col customWidth="1" min="23" max="23" width="13.5"/>
  </cols>
  <sheetData>
    <row r="1">
      <c r="A1" s="1"/>
      <c r="C1" s="2" t="str">
        <f>IFERROR(__xludf.DUMMYFUNCTION("SPARKLINE((SUM(B16:H16)+3*SUM(T15:U15) + SUM(K16:Q16) + SUM(B33:H33) + SUM(K33:Q33) + 3*SUM(T32:U32)+ 5*SUM(X19))/45,{""charttype"",""bar"";""max"",1;""min"",0;""color1"",IF((SUM(B16:H16)+3*SUM(T15:U15) + SUM(K16:Q16) + SUM(B33:H33) + SUM(K33:Q33) + 3*SUM"&amp;"(T32:U32)+ 5*SUM(X19))/45&gt;0.7,""green"",IF((SUM(B16:H16)+3*SUM(T15:U15) + SUM(K16:Q16) + SUM(B33:H33) + SUM(K33:Q33) + 3*SUM(T32:U32)+ 5*SUM(X19))/45&gt;0.5,""yellow"",""red""))})"),"")</f>
        <v/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>
        <f>(SUM(B16:H16)+3*SUM(T15:U15) + SUM(K16:Q16) + SUM(B33:H33) + SUM(K33:Q33) + 3*SUM(T32:U32) + 5*SUM(X19))/45</f>
        <v>0.767979798</v>
      </c>
      <c r="S1" s="72" t="s">
        <v>0</v>
      </c>
      <c r="T1" s="73">
        <f t="array" ref="T1">COUNTIF(B5:H15,TRUE)+COUNTIF(K5:Q15,TRUE)+COUNTIF(B22:H32,TRUE)+COUNTIF(K22:Q32,TRUE)+3*(COUNTIF(T5:U14,TRUE)+COUNTIF(T22:U31,TRUE))+5*(COUNTIF(X15:X18,TRUE))</f>
        <v>344</v>
      </c>
      <c r="U1" s="4"/>
      <c r="W1" s="74" t="s">
        <v>38</v>
      </c>
      <c r="X1" s="75">
        <f>T1+'Nov2022'!T1</f>
        <v>661</v>
      </c>
    </row>
    <row r="2">
      <c r="A2" s="8">
        <v>44896.0</v>
      </c>
      <c r="B2" s="70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2"/>
      <c r="S2" s="9"/>
      <c r="T2" s="10"/>
      <c r="U2" s="11"/>
      <c r="W2" s="9"/>
      <c r="X2" s="11"/>
    </row>
    <row r="3">
      <c r="A3" s="13" t="s">
        <v>1</v>
      </c>
      <c r="B3" s="76">
        <f>DATE(YEAR(A2),MONTH(A2),1)+MOD(9-WEEKDAY(DATE(YEAR(A2),MONTH(A2),1)),7)</f>
        <v>44900</v>
      </c>
      <c r="C3" s="77">
        <f t="shared" ref="C3:H3" si="1">B3+1</f>
        <v>44901</v>
      </c>
      <c r="D3" s="77">
        <f t="shared" si="1"/>
        <v>44902</v>
      </c>
      <c r="E3" s="77">
        <f t="shared" si="1"/>
        <v>44903</v>
      </c>
      <c r="F3" s="77">
        <f t="shared" si="1"/>
        <v>44904</v>
      </c>
      <c r="G3" s="77">
        <f t="shared" si="1"/>
        <v>44905</v>
      </c>
      <c r="H3" s="77">
        <f t="shared" si="1"/>
        <v>44906</v>
      </c>
      <c r="I3" s="17"/>
      <c r="J3" s="13" t="s">
        <v>2</v>
      </c>
      <c r="K3" s="77">
        <f>H3+1</f>
        <v>44907</v>
      </c>
      <c r="L3" s="77">
        <f t="shared" ref="L3:Q3" si="2">K3+1</f>
        <v>44908</v>
      </c>
      <c r="M3" s="77">
        <f t="shared" si="2"/>
        <v>44909</v>
      </c>
      <c r="N3" s="77">
        <f t="shared" si="2"/>
        <v>44910</v>
      </c>
      <c r="O3" s="77">
        <f t="shared" si="2"/>
        <v>44911</v>
      </c>
      <c r="P3" s="77">
        <f t="shared" si="2"/>
        <v>44912</v>
      </c>
      <c r="Q3" s="77">
        <f t="shared" si="2"/>
        <v>44913</v>
      </c>
    </row>
    <row r="4">
      <c r="A4" s="18" t="s">
        <v>3</v>
      </c>
      <c r="B4" s="78" t="str">
        <f t="shared" ref="B4:H4" si="3">CHOOSE(WEEKDAY(B3,2),"Mon","Tue","Wed","Thu","Fri","Sat","Sun")</f>
        <v>Mon</v>
      </c>
      <c r="C4" s="78" t="str">
        <f t="shared" si="3"/>
        <v>Tue</v>
      </c>
      <c r="D4" s="78" t="str">
        <f t="shared" si="3"/>
        <v>Wed</v>
      </c>
      <c r="E4" s="78" t="str">
        <f t="shared" si="3"/>
        <v>Thu</v>
      </c>
      <c r="F4" s="78" t="str">
        <f t="shared" si="3"/>
        <v>Fri</v>
      </c>
      <c r="G4" s="78" t="str">
        <f t="shared" si="3"/>
        <v>Sat</v>
      </c>
      <c r="H4" s="78" t="str">
        <f t="shared" si="3"/>
        <v>Sun</v>
      </c>
      <c r="I4" s="21"/>
      <c r="J4" s="18" t="s">
        <v>3</v>
      </c>
      <c r="K4" s="78" t="str">
        <f t="shared" ref="K4:Q4" si="4">CHOOSE(WEEKDAY(K3,2),"Mon","Tue","Wed","Thu","Fri","Sat","Sun")</f>
        <v>Mon</v>
      </c>
      <c r="L4" s="78" t="str">
        <f t="shared" si="4"/>
        <v>Tue</v>
      </c>
      <c r="M4" s="78" t="str">
        <f t="shared" si="4"/>
        <v>Wed</v>
      </c>
      <c r="N4" s="78" t="str">
        <f t="shared" si="4"/>
        <v>Thu</v>
      </c>
      <c r="O4" s="78" t="str">
        <f t="shared" si="4"/>
        <v>Fri</v>
      </c>
      <c r="P4" s="78" t="str">
        <f t="shared" si="4"/>
        <v>Sat</v>
      </c>
      <c r="Q4" s="78" t="str">
        <f t="shared" si="4"/>
        <v>Sun</v>
      </c>
      <c r="S4" s="22" t="s">
        <v>4</v>
      </c>
      <c r="T4" s="23" t="s">
        <v>1</v>
      </c>
      <c r="U4" s="24" t="s">
        <v>2</v>
      </c>
    </row>
    <row r="5">
      <c r="A5" s="79" t="s">
        <v>5</v>
      </c>
      <c r="B5" s="80" t="b">
        <v>1</v>
      </c>
      <c r="C5" s="26" t="b">
        <v>1</v>
      </c>
      <c r="D5" s="26" t="b">
        <v>1</v>
      </c>
      <c r="E5" s="28" t="b">
        <v>0</v>
      </c>
      <c r="F5" s="26" t="b">
        <v>1</v>
      </c>
      <c r="G5" s="26" t="b">
        <v>0</v>
      </c>
      <c r="H5" s="32" t="b">
        <v>0</v>
      </c>
      <c r="I5" s="30"/>
      <c r="J5" s="81" t="str">
        <f t="shared" ref="J5:J15" si="5">A5</f>
        <v>Exercise</v>
      </c>
      <c r="K5" s="26" t="b">
        <v>0</v>
      </c>
      <c r="L5" s="26" t="b">
        <v>1</v>
      </c>
      <c r="M5" s="26" t="b">
        <v>1</v>
      </c>
      <c r="N5" s="26" t="b">
        <v>1</v>
      </c>
      <c r="O5" s="26" t="b">
        <v>0</v>
      </c>
      <c r="P5" s="26" t="b">
        <v>0</v>
      </c>
      <c r="Q5" s="32" t="b">
        <v>0</v>
      </c>
      <c r="S5" s="82" t="s">
        <v>6</v>
      </c>
      <c r="T5" s="26" t="b">
        <v>1</v>
      </c>
      <c r="U5" s="32" t="b">
        <v>1</v>
      </c>
    </row>
    <row r="6">
      <c r="A6" s="79" t="s">
        <v>7</v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32" t="b">
        <v>0</v>
      </c>
      <c r="I6" s="30"/>
      <c r="J6" s="81" t="str">
        <f t="shared" si="5"/>
        <v>Stretch/Yoga (&gt;20min)</v>
      </c>
      <c r="K6" s="26" t="b">
        <v>0</v>
      </c>
      <c r="L6" s="26" t="b">
        <v>1</v>
      </c>
      <c r="M6" s="26" t="b">
        <v>1</v>
      </c>
      <c r="N6" s="26" t="b">
        <v>1</v>
      </c>
      <c r="O6" s="26" t="b">
        <v>0</v>
      </c>
      <c r="P6" s="26" t="b">
        <v>0</v>
      </c>
      <c r="Q6" s="32" t="b">
        <v>1</v>
      </c>
      <c r="S6" s="82" t="s">
        <v>8</v>
      </c>
      <c r="T6" s="26" t="b">
        <v>1</v>
      </c>
      <c r="U6" s="32" t="b">
        <v>0</v>
      </c>
    </row>
    <row r="7">
      <c r="A7" s="79" t="s">
        <v>39</v>
      </c>
      <c r="B7" s="80" t="b">
        <v>1</v>
      </c>
      <c r="C7" s="26" t="b">
        <v>1</v>
      </c>
      <c r="D7" s="26" t="b">
        <v>1</v>
      </c>
      <c r="E7" s="28" t="b">
        <v>1</v>
      </c>
      <c r="F7" s="26" t="b">
        <v>1</v>
      </c>
      <c r="G7" s="26" t="b">
        <v>1</v>
      </c>
      <c r="H7" s="32" t="b">
        <v>1</v>
      </c>
      <c r="I7" s="30"/>
      <c r="J7" s="81" t="str">
        <f t="shared" si="5"/>
        <v>Social Media (&lt;limit)</v>
      </c>
      <c r="K7" s="26" t="b">
        <v>1</v>
      </c>
      <c r="L7" s="26" t="b">
        <v>1</v>
      </c>
      <c r="M7" s="26" t="b">
        <v>1</v>
      </c>
      <c r="N7" s="26" t="b">
        <v>1</v>
      </c>
      <c r="O7" s="26" t="b">
        <v>1</v>
      </c>
      <c r="P7" s="26" t="b">
        <v>1</v>
      </c>
      <c r="Q7" s="32" t="b">
        <v>1</v>
      </c>
      <c r="S7" s="82" t="s">
        <v>10</v>
      </c>
      <c r="T7" s="26" t="b">
        <v>1</v>
      </c>
      <c r="U7" s="32" t="b">
        <v>1</v>
      </c>
    </row>
    <row r="8">
      <c r="A8" s="79" t="s">
        <v>11</v>
      </c>
      <c r="B8" s="80" t="b">
        <v>1</v>
      </c>
      <c r="C8" s="26" t="b">
        <v>1</v>
      </c>
      <c r="D8" s="26" t="b">
        <v>0</v>
      </c>
      <c r="E8" s="26" t="b">
        <v>1</v>
      </c>
      <c r="F8" s="26" t="b">
        <v>0</v>
      </c>
      <c r="G8" s="26" t="b">
        <v>1</v>
      </c>
      <c r="H8" s="32" t="b">
        <v>1</v>
      </c>
      <c r="I8" s="30"/>
      <c r="J8" s="81" t="str">
        <f t="shared" si="5"/>
        <v>Eat in</v>
      </c>
      <c r="K8" s="26" t="b">
        <v>0</v>
      </c>
      <c r="L8" s="26" t="b">
        <v>1</v>
      </c>
      <c r="M8" s="26" t="b">
        <v>1</v>
      </c>
      <c r="N8" s="26" t="b">
        <v>1</v>
      </c>
      <c r="O8" s="26" t="b">
        <v>0</v>
      </c>
      <c r="P8" s="26" t="b">
        <v>1</v>
      </c>
      <c r="Q8" s="32" t="b">
        <v>0</v>
      </c>
      <c r="S8" s="82" t="s">
        <v>12</v>
      </c>
      <c r="T8" s="26" t="b">
        <v>1</v>
      </c>
      <c r="U8" s="32" t="b">
        <v>0</v>
      </c>
    </row>
    <row r="9">
      <c r="A9" s="83" t="s">
        <v>13</v>
      </c>
      <c r="B9" s="80" t="b">
        <v>1</v>
      </c>
      <c r="C9" s="26" t="b">
        <v>1</v>
      </c>
      <c r="D9" s="26" t="b">
        <v>1</v>
      </c>
      <c r="E9" s="26" t="b">
        <v>1</v>
      </c>
      <c r="F9" s="26" t="b">
        <v>1</v>
      </c>
      <c r="G9" s="26" t="b">
        <v>1</v>
      </c>
      <c r="H9" s="32" t="b">
        <v>1</v>
      </c>
      <c r="I9" s="30"/>
      <c r="J9" s="81" t="str">
        <f t="shared" si="5"/>
        <v>Review Budget/Goals</v>
      </c>
      <c r="K9" s="26" t="b">
        <v>1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32" t="b">
        <v>1</v>
      </c>
      <c r="S9" s="82" t="s">
        <v>14</v>
      </c>
      <c r="T9" s="26" t="b">
        <v>0</v>
      </c>
      <c r="U9" s="32" t="b">
        <v>1</v>
      </c>
    </row>
    <row r="10">
      <c r="A10" s="84" t="s">
        <v>37</v>
      </c>
      <c r="B10" s="80" t="b">
        <v>1</v>
      </c>
      <c r="C10" s="26" t="b">
        <v>1</v>
      </c>
      <c r="D10" s="26" t="b">
        <v>1</v>
      </c>
      <c r="E10" s="26" t="b">
        <v>1</v>
      </c>
      <c r="F10" s="26" t="b">
        <v>1</v>
      </c>
      <c r="G10" s="26" t="b">
        <v>1</v>
      </c>
      <c r="H10" s="32" t="b">
        <v>1</v>
      </c>
      <c r="I10" s="30"/>
      <c r="J10" s="81" t="str">
        <f t="shared" si="5"/>
        <v>(2x)Brush+(1x)Floss</v>
      </c>
      <c r="K10" s="26" t="b">
        <v>1</v>
      </c>
      <c r="L10" s="26" t="b">
        <v>1</v>
      </c>
      <c r="M10" s="26" t="b">
        <v>1</v>
      </c>
      <c r="N10" s="26" t="b">
        <v>1</v>
      </c>
      <c r="O10" s="26" t="b">
        <v>1</v>
      </c>
      <c r="P10" s="26" t="b">
        <v>1</v>
      </c>
      <c r="Q10" s="32" t="b">
        <v>1</v>
      </c>
      <c r="S10" s="82" t="s">
        <v>16</v>
      </c>
      <c r="T10" s="26" t="b">
        <v>1</v>
      </c>
      <c r="U10" s="32" t="b">
        <v>1</v>
      </c>
    </row>
    <row r="11">
      <c r="A11" s="79" t="s">
        <v>40</v>
      </c>
      <c r="B11" s="80" t="b">
        <v>1</v>
      </c>
      <c r="C11" s="26" t="b">
        <v>0</v>
      </c>
      <c r="D11" s="26" t="b">
        <v>1</v>
      </c>
      <c r="E11" s="26" t="b">
        <v>1</v>
      </c>
      <c r="F11" s="26" t="b">
        <v>0</v>
      </c>
      <c r="G11" s="26" t="b">
        <v>1</v>
      </c>
      <c r="H11" s="32" t="b">
        <v>1</v>
      </c>
      <c r="I11" s="30"/>
      <c r="J11" s="81" t="str">
        <f t="shared" si="5"/>
        <v>Water (&gt;2.25L)</v>
      </c>
      <c r="K11" s="26" t="b">
        <v>1</v>
      </c>
      <c r="L11" s="26" t="b">
        <v>1</v>
      </c>
      <c r="M11" s="26" t="b">
        <v>1</v>
      </c>
      <c r="N11" s="26" t="b">
        <v>1</v>
      </c>
      <c r="O11" s="26" t="b">
        <v>1</v>
      </c>
      <c r="P11" s="26" t="b">
        <v>1</v>
      </c>
      <c r="Q11" s="32" t="b">
        <v>1</v>
      </c>
      <c r="S11" s="82" t="s">
        <v>18</v>
      </c>
      <c r="T11" s="26" t="b">
        <v>1</v>
      </c>
      <c r="U11" s="32" t="b">
        <v>1</v>
      </c>
    </row>
    <row r="12">
      <c r="A12" s="79" t="s">
        <v>19</v>
      </c>
      <c r="B12" s="80" t="b">
        <v>1</v>
      </c>
      <c r="C12" s="26" t="b">
        <v>1</v>
      </c>
      <c r="D12" s="26" t="b">
        <v>1</v>
      </c>
      <c r="E12" s="26" t="b">
        <v>1</v>
      </c>
      <c r="F12" s="26" t="b">
        <v>0</v>
      </c>
      <c r="G12" s="26" t="b">
        <v>1</v>
      </c>
      <c r="H12" s="32" t="b">
        <v>0</v>
      </c>
      <c r="I12" s="30"/>
      <c r="J12" s="81" t="str">
        <f t="shared" si="5"/>
        <v>7 hours sleep</v>
      </c>
      <c r="K12" s="26" t="b">
        <v>1</v>
      </c>
      <c r="L12" s="26" t="b">
        <v>1</v>
      </c>
      <c r="M12" s="26" t="b">
        <v>0</v>
      </c>
      <c r="N12" s="26" t="b">
        <v>1</v>
      </c>
      <c r="O12" s="26" t="b">
        <v>1</v>
      </c>
      <c r="P12" s="26" t="b">
        <v>1</v>
      </c>
      <c r="Q12" s="32" t="b">
        <v>1</v>
      </c>
      <c r="S12" s="82" t="s">
        <v>20</v>
      </c>
      <c r="T12" s="26" t="b">
        <v>1</v>
      </c>
      <c r="U12" s="32" t="b">
        <v>1</v>
      </c>
    </row>
    <row r="13">
      <c r="A13" s="79" t="s">
        <v>21</v>
      </c>
      <c r="B13" s="26" t="b">
        <v>0</v>
      </c>
      <c r="C13" s="26" t="b">
        <v>0</v>
      </c>
      <c r="D13" s="26" t="b">
        <v>1</v>
      </c>
      <c r="E13" s="26" t="b">
        <v>1</v>
      </c>
      <c r="F13" s="26" t="b">
        <v>0</v>
      </c>
      <c r="G13" s="26" t="b">
        <v>1</v>
      </c>
      <c r="H13" s="32" t="b">
        <v>1</v>
      </c>
      <c r="I13" s="30"/>
      <c r="J13" s="81" t="str">
        <f t="shared" si="5"/>
        <v>Clean (~20 min)</v>
      </c>
      <c r="K13" s="26" t="b">
        <v>1</v>
      </c>
      <c r="L13" s="26" t="b">
        <v>1</v>
      </c>
      <c r="M13" s="26" t="b">
        <v>1</v>
      </c>
      <c r="N13" s="26" t="b">
        <v>0</v>
      </c>
      <c r="O13" s="26" t="b">
        <v>0</v>
      </c>
      <c r="P13" s="26" t="b">
        <v>0</v>
      </c>
      <c r="Q13" s="32" t="b">
        <v>1</v>
      </c>
      <c r="S13" s="82" t="s">
        <v>22</v>
      </c>
      <c r="T13" s="26" t="b">
        <v>1</v>
      </c>
      <c r="U13" s="32" t="b">
        <v>1</v>
      </c>
    </row>
    <row r="14">
      <c r="A14" s="79" t="s">
        <v>41</v>
      </c>
      <c r="B14" s="26" t="b">
        <v>0</v>
      </c>
      <c r="C14" s="26" t="b">
        <v>1</v>
      </c>
      <c r="D14" s="26" t="b">
        <v>1</v>
      </c>
      <c r="E14" s="26" t="b">
        <v>1</v>
      </c>
      <c r="F14" s="26" t="b">
        <v>0</v>
      </c>
      <c r="G14" s="26" t="b">
        <v>0</v>
      </c>
      <c r="H14" s="32" t="b">
        <v>0</v>
      </c>
      <c r="I14" s="30"/>
      <c r="J14" s="81" t="str">
        <f t="shared" si="5"/>
        <v>Read(~30 min)</v>
      </c>
      <c r="K14" s="26" t="b">
        <v>0</v>
      </c>
      <c r="L14" s="26" t="b">
        <v>1</v>
      </c>
      <c r="M14" s="26" t="b">
        <v>0</v>
      </c>
      <c r="N14" s="26" t="b">
        <v>1</v>
      </c>
      <c r="O14" s="26" t="b">
        <v>0</v>
      </c>
      <c r="P14" s="26" t="b">
        <v>0</v>
      </c>
      <c r="Q14" s="32" t="b">
        <v>0</v>
      </c>
      <c r="S14" s="85" t="s">
        <v>24</v>
      </c>
      <c r="T14" s="38" t="b">
        <v>0</v>
      </c>
      <c r="U14" s="39" t="b">
        <v>0</v>
      </c>
      <c r="W14" s="40" t="s">
        <v>25</v>
      </c>
      <c r="X14" s="41"/>
    </row>
    <row r="15">
      <c r="A15" s="86" t="s">
        <v>26</v>
      </c>
      <c r="B15" s="87" t="b">
        <v>1</v>
      </c>
      <c r="C15" s="38" t="b">
        <v>1</v>
      </c>
      <c r="D15" s="38" t="b">
        <v>1</v>
      </c>
      <c r="E15" s="38" t="b">
        <v>1</v>
      </c>
      <c r="F15" s="38" t="b">
        <v>1</v>
      </c>
      <c r="G15" s="38" t="b">
        <v>1</v>
      </c>
      <c r="H15" s="39" t="b">
        <v>1</v>
      </c>
      <c r="I15" s="30"/>
      <c r="J15" s="86" t="str">
        <f t="shared" si="5"/>
        <v>Vitamins</v>
      </c>
      <c r="K15" s="38" t="b">
        <v>1</v>
      </c>
      <c r="L15" s="38" t="b">
        <v>1</v>
      </c>
      <c r="M15" s="38" t="b">
        <v>1</v>
      </c>
      <c r="N15" s="38" t="b">
        <v>1</v>
      </c>
      <c r="O15" s="38" t="b">
        <v>1</v>
      </c>
      <c r="P15" s="38" t="b">
        <v>1</v>
      </c>
      <c r="Q15" s="39" t="b">
        <v>1</v>
      </c>
      <c r="S15" s="88" t="s">
        <v>27</v>
      </c>
      <c r="T15" s="44">
        <f t="shared" ref="T15:U15" si="6">COUNTIF(T5:T14,True)/COUNTA(T5:T14)</f>
        <v>0.8</v>
      </c>
      <c r="U15" s="45">
        <f t="shared" si="6"/>
        <v>0.7</v>
      </c>
      <c r="W15" s="82" t="s">
        <v>28</v>
      </c>
      <c r="X15" s="32" t="b">
        <v>0</v>
      </c>
    </row>
    <row r="16">
      <c r="A16" s="88" t="s">
        <v>27</v>
      </c>
      <c r="B16" s="44">
        <f t="shared" ref="B16:H16" si="7">COUNTIF(B5:B15,True)/COUNTA(B5:B15)</f>
        <v>0.7272727273</v>
      </c>
      <c r="C16" s="44">
        <f t="shared" si="7"/>
        <v>0.7272727273</v>
      </c>
      <c r="D16" s="44">
        <f t="shared" si="7"/>
        <v>0.8181818182</v>
      </c>
      <c r="E16" s="44">
        <f t="shared" si="7"/>
        <v>0.8181818182</v>
      </c>
      <c r="F16" s="44">
        <f t="shared" si="7"/>
        <v>0.4545454545</v>
      </c>
      <c r="G16" s="44">
        <f t="shared" si="7"/>
        <v>0.7272727273</v>
      </c>
      <c r="H16" s="45">
        <f t="shared" si="7"/>
        <v>0.6363636364</v>
      </c>
      <c r="I16" s="21"/>
      <c r="J16" s="89" t="s">
        <v>27</v>
      </c>
      <c r="K16" s="44">
        <f t="shared" ref="K16:Q16" si="8">COUNTIF(K5:K15,True)/COUNTA(K5:K15)</f>
        <v>0.6363636364</v>
      </c>
      <c r="L16" s="44">
        <f t="shared" si="8"/>
        <v>1</v>
      </c>
      <c r="M16" s="44">
        <f t="shared" si="8"/>
        <v>0.8181818182</v>
      </c>
      <c r="N16" s="44">
        <f t="shared" si="8"/>
        <v>0.9090909091</v>
      </c>
      <c r="O16" s="47">
        <f t="shared" si="8"/>
        <v>0.5454545455</v>
      </c>
      <c r="P16" s="44">
        <f t="shared" si="8"/>
        <v>0.6363636364</v>
      </c>
      <c r="Q16" s="45">
        <f t="shared" si="8"/>
        <v>0.7272727273</v>
      </c>
      <c r="S16" s="90" t="s">
        <v>29</v>
      </c>
      <c r="T16" s="49" t="str">
        <f>IFERROR(__xludf.DUMMYFUNCTION("SPARKLINE(T15,{""charttype"",""bar"";""max"",1;""min"",0;""color1"",IF(T15&gt;0.7,""green"",IF(T15&gt;0.5,""yellow"",""red""))})"),"")</f>
        <v/>
      </c>
      <c r="U16" s="50" t="str">
        <f>IFERROR(__xludf.DUMMYFUNCTION("SPARKLINE(U15,{""charttype"",""bar"";""max"",1;""min"",0;""color1"",IF(U15&gt;0.7,""green"",IF(U15&gt;0.5,""yellow"",""red""))})"),"")</f>
        <v/>
      </c>
      <c r="W16" s="82" t="s">
        <v>30</v>
      </c>
      <c r="X16" s="32" t="b">
        <v>1</v>
      </c>
    </row>
    <row r="17">
      <c r="A17" s="91" t="s">
        <v>29</v>
      </c>
      <c r="B17" s="49" t="str">
        <f>IFERROR(__xludf.DUMMYFUNCTION("SPARKLINE(B16,{""charttype"",""bar"";""max"",1;""min"",0;""color1"",IF(B16&gt;0.7,""green"",IF(B16&gt;0.5,""yellow"",""red""))})"),"")</f>
        <v/>
      </c>
      <c r="C17" s="49" t="str">
        <f>IFERROR(__xludf.DUMMYFUNCTION("SPARKLINE(C16,{""charttype"",""bar"";""max"",1;""min"",0;""color1"",IF(C16&gt;0.7,""green"",IF(C16&gt;0.5,""yellow"",""red""))})"),"")</f>
        <v/>
      </c>
      <c r="D17" s="49" t="str">
        <f>IFERROR(__xludf.DUMMYFUNCTION("SPARKLINE(D16,{""charttype"",""bar"";""max"",1;""min"",0;""color1"",IF(D16&gt;0.7,""green"",IF(D16&gt;0.5,""yellow"",""red""))})"),"")</f>
        <v/>
      </c>
      <c r="E17" s="49" t="str">
        <f>IFERROR(__xludf.DUMMYFUNCTION("SPARKLINE(E16,{""charttype"",""bar"";""max"",1;""min"",0;""color1"",IF(E16&gt;0.7,""green"",IF(E16&gt;0.5,""yellow"",""red""))})"),"")</f>
        <v/>
      </c>
      <c r="F17" s="49" t="str">
        <f>IFERROR(__xludf.DUMMYFUNCTION("SPARKLINE(F16,{""charttype"",""bar"";""max"",1;""min"",0;""color1"",IF(F16&gt;0.7,""green"",IF(F16&gt;0.5,""yellow"",""red""))})"),"")</f>
        <v/>
      </c>
      <c r="G17" s="49" t="str">
        <f>IFERROR(__xludf.DUMMYFUNCTION("SPARKLINE(G16,{""charttype"",""bar"";""max"",1;""min"",0;""color1"",IF(G16&gt;0.7,""green"",IF(G16&gt;0.5,""yellow"",""red""))})"),"")</f>
        <v/>
      </c>
      <c r="H17" s="50" t="str">
        <f>IFERROR(__xludf.DUMMYFUNCTION("SPARKLINE(H16,{""charttype"",""bar"";""max"",1;""min"",0;""color1"",IF(H16&gt;0.7,""green"",IF(H16&gt;0.5,""yellow"",""red""))})"),"")</f>
        <v/>
      </c>
      <c r="I17" s="52"/>
      <c r="J17" s="90" t="s">
        <v>29</v>
      </c>
      <c r="K17" s="49" t="str">
        <f>IFERROR(__xludf.DUMMYFUNCTION("SPARKLINE(K16,{""charttype"",""bar"";""max"",1;""min"",0;""color1"",IF(K16&gt;0.7,""green"",IF(K16&gt;0.5,""yellow"",""red""))})"),"")</f>
        <v/>
      </c>
      <c r="L17" s="49" t="str">
        <f>IFERROR(__xludf.DUMMYFUNCTION("SPARKLINE(L16,{""charttype"",""bar"";""max"",1;""min"",0;""color1"",IF(L16&gt;0.7,""green"",IF(L16&gt;0.5,""yellow"",""red""))})"),"")</f>
        <v/>
      </c>
      <c r="M17" s="49" t="str">
        <f>IFERROR(__xludf.DUMMYFUNCTION("SPARKLINE(M16,{""charttype"",""bar"";""max"",1;""min"",0;""color1"",IF(M16&gt;0.7,""green"",IF(M16&gt;0.5,""yellow"",""red""))})"),"")</f>
        <v/>
      </c>
      <c r="N17" s="49" t="str">
        <f>IFERROR(__xludf.DUMMYFUNCTION("SPARKLINE(N16,{""charttype"",""bar"";""max"",1;""min"",0;""color1"",IF(N16&gt;0.7,""green"",IF(N16&gt;0.5,""yellow"",""red""))})"),"")</f>
        <v/>
      </c>
      <c r="O17" s="49" t="str">
        <f>IFERROR(__xludf.DUMMYFUNCTION("SPARKLINE(O16,{""charttype"",""bar"";""max"",1;""min"",0;""color1"",IF(O16&gt;0.7,""green"",IF(O16&gt;0.5,""yellow"",""red""))})"),"")</f>
        <v/>
      </c>
      <c r="P17" s="49" t="str">
        <f>IFERROR(__xludf.DUMMYFUNCTION("SPARKLINE(P16,{""charttype"",""bar"";""max"",1;""min"",0;""color1"",IF(P16&gt;0.7,""green"",IF(P16&gt;0.5,""yellow"",""red""))})"),"")</f>
        <v/>
      </c>
      <c r="Q17" s="50" t="str">
        <f>IFERROR(__xludf.DUMMYFUNCTION("SPARKLINE(Q16,{""charttype"",""bar"";""max"",1;""min"",0;""color1"",IF(Q16&gt;0.7,""green"",IF(Q16&gt;0.5,""yellow"",""red""))})"),"")</f>
        <v/>
      </c>
      <c r="W17" s="82" t="s">
        <v>32</v>
      </c>
      <c r="X17" s="32" t="b">
        <v>1</v>
      </c>
    </row>
    <row r="18">
      <c r="A18" s="90" t="s">
        <v>42</v>
      </c>
      <c r="B18" s="53" t="str">
        <f>IFERROR(__xludf.DUMMYFUNCTION("SPARKLINE((SUM(B16:H16)+3*T15)/10,{""charttype"",""bar"";""max"",1;""min"",0;""color1"",IF((SUM(B16:H16)+3*T15)/10&gt;0.7,""green"",IF((SUM(B16:H16)+3*T15)/10&gt;0.5,""yellow"",""red""))})"),"")</f>
        <v/>
      </c>
      <c r="C18" s="54"/>
      <c r="D18" s="54"/>
      <c r="E18" s="54"/>
      <c r="F18" s="54"/>
      <c r="G18" s="54"/>
      <c r="H18" s="41"/>
      <c r="I18" s="55"/>
      <c r="J18" s="90" t="s">
        <v>42</v>
      </c>
      <c r="K18" s="53" t="str">
        <f>IFERROR(__xludf.DUMMYFUNCTION("SPARKLINE((SUM(K16:Q16)+3*U15)/10,{""charttype"",""bar"";""max"",1;""min"",0;""color1"",IF((SUM(K16:Q16)+3*U15)/10&gt;0.7,""green"",IF((SUM(K16:Q16)+3*U15)/10&gt;0.5,""yellow"",""red""))})"),"")</f>
        <v/>
      </c>
      <c r="L18" s="54"/>
      <c r="M18" s="54"/>
      <c r="N18" s="54"/>
      <c r="O18" s="54"/>
      <c r="P18" s="54"/>
      <c r="Q18" s="41"/>
      <c r="W18" s="85" t="s">
        <v>34</v>
      </c>
      <c r="X18" s="32" t="b">
        <v>1</v>
      </c>
    </row>
    <row r="19">
      <c r="A19" s="57"/>
      <c r="B19" s="58"/>
      <c r="C19" s="58"/>
      <c r="D19" s="58"/>
      <c r="E19" s="58"/>
      <c r="F19" s="58"/>
      <c r="G19" s="58"/>
      <c r="H19" s="53"/>
      <c r="I19" s="55"/>
      <c r="J19" s="59"/>
      <c r="K19" s="58"/>
      <c r="L19" s="58"/>
      <c r="M19" s="58"/>
      <c r="N19" s="58"/>
      <c r="O19" s="58"/>
      <c r="P19" s="58"/>
      <c r="Q19" s="58"/>
      <c r="R19" s="56"/>
      <c r="S19" s="56"/>
      <c r="T19" s="56"/>
      <c r="U19" s="56"/>
      <c r="V19" s="56"/>
      <c r="W19" s="91" t="s">
        <v>27</v>
      </c>
      <c r="X19" s="92">
        <f>COUNTIF(X15:X18,True)/COUNTA(X15:X18)</f>
        <v>0.75</v>
      </c>
      <c r="Y19" s="56"/>
      <c r="Z19" s="56"/>
    </row>
    <row r="20">
      <c r="A20" s="60" t="s">
        <v>35</v>
      </c>
      <c r="B20" s="76">
        <f>Q3+1</f>
        <v>44914</v>
      </c>
      <c r="C20" s="93">
        <f t="shared" ref="C20:H20" si="9">B20+1</f>
        <v>44915</v>
      </c>
      <c r="D20" s="93">
        <f t="shared" si="9"/>
        <v>44916</v>
      </c>
      <c r="E20" s="93">
        <f t="shared" si="9"/>
        <v>44917</v>
      </c>
      <c r="F20" s="93">
        <f t="shared" si="9"/>
        <v>44918</v>
      </c>
      <c r="G20" s="93">
        <f t="shared" si="9"/>
        <v>44919</v>
      </c>
      <c r="H20" s="94">
        <f t="shared" si="9"/>
        <v>44920</v>
      </c>
      <c r="I20" s="52"/>
      <c r="J20" s="63" t="s">
        <v>36</v>
      </c>
      <c r="K20" s="93">
        <f>H20+1</f>
        <v>44921</v>
      </c>
      <c r="L20" s="93">
        <f t="shared" ref="L20:Q20" si="10">K20+1</f>
        <v>44922</v>
      </c>
      <c r="M20" s="93">
        <f t="shared" si="10"/>
        <v>44923</v>
      </c>
      <c r="N20" s="93">
        <f t="shared" si="10"/>
        <v>44924</v>
      </c>
      <c r="O20" s="93">
        <f t="shared" si="10"/>
        <v>44925</v>
      </c>
      <c r="P20" s="93">
        <f t="shared" si="10"/>
        <v>44926</v>
      </c>
      <c r="Q20" s="93">
        <f t="shared" si="10"/>
        <v>44927</v>
      </c>
      <c r="W20" s="90" t="s">
        <v>29</v>
      </c>
      <c r="X20" s="50" t="str">
        <f>IFERROR(__xludf.DUMMYFUNCTION("SPARKLINE(X19,{""charttype"",""bar"";""max"",1;""min"",0;""color1"",IF(X19&gt;0.7,""green"",IF(X19&gt;0.5,""yellow"",""red""))})"),"")</f>
        <v/>
      </c>
    </row>
    <row r="21">
      <c r="A21" s="18" t="s">
        <v>3</v>
      </c>
      <c r="B21" s="78" t="str">
        <f t="shared" ref="B21:H21" si="11">CHOOSE(WEEKDAY(B20,2),"Mon","Tue","Wed","Thu","Fri","Sat","Sun")</f>
        <v>Mon</v>
      </c>
      <c r="C21" s="78" t="str">
        <f t="shared" si="11"/>
        <v>Tue</v>
      </c>
      <c r="D21" s="78" t="str">
        <f t="shared" si="11"/>
        <v>Wed</v>
      </c>
      <c r="E21" s="78" t="str">
        <f t="shared" si="11"/>
        <v>Thu</v>
      </c>
      <c r="F21" s="78" t="str">
        <f t="shared" si="11"/>
        <v>Fri</v>
      </c>
      <c r="G21" s="78" t="str">
        <f t="shared" si="11"/>
        <v>Sat</v>
      </c>
      <c r="H21" s="78" t="str">
        <f t="shared" si="11"/>
        <v>Sun</v>
      </c>
      <c r="I21" s="21"/>
      <c r="J21" s="64" t="s">
        <v>3</v>
      </c>
      <c r="K21" s="78" t="str">
        <f t="shared" ref="K21:Q21" si="12">CHOOSE(WEEKDAY(K20,2),"Mon","Tue","Wed","Thu","Fri","Sat","Sun")</f>
        <v>Mon</v>
      </c>
      <c r="L21" s="78" t="str">
        <f t="shared" si="12"/>
        <v>Tue</v>
      </c>
      <c r="M21" s="78" t="str">
        <f t="shared" si="12"/>
        <v>Wed</v>
      </c>
      <c r="N21" s="78" t="str">
        <f t="shared" si="12"/>
        <v>Thu</v>
      </c>
      <c r="O21" s="78" t="str">
        <f t="shared" si="12"/>
        <v>Fri</v>
      </c>
      <c r="P21" s="78" t="str">
        <f t="shared" si="12"/>
        <v>Sat</v>
      </c>
      <c r="Q21" s="78" t="str">
        <f t="shared" si="12"/>
        <v>Sun</v>
      </c>
      <c r="S21" s="22" t="s">
        <v>4</v>
      </c>
      <c r="T21" s="23" t="s">
        <v>35</v>
      </c>
      <c r="U21" s="24" t="s">
        <v>36</v>
      </c>
    </row>
    <row r="22">
      <c r="A22" s="82" t="str">
        <f t="shared" ref="A22:A32" si="13">A5</f>
        <v>Exercise</v>
      </c>
      <c r="B22" s="26" t="b">
        <v>1</v>
      </c>
      <c r="C22" s="26" t="b">
        <v>1</v>
      </c>
      <c r="D22" s="26" t="b">
        <v>1</v>
      </c>
      <c r="E22" s="65" t="b">
        <v>0</v>
      </c>
      <c r="F22" s="26" t="b">
        <v>1</v>
      </c>
      <c r="G22" s="26" t="b">
        <v>0</v>
      </c>
      <c r="H22" s="29" t="b">
        <v>0</v>
      </c>
      <c r="I22" s="30"/>
      <c r="J22" s="81" t="str">
        <f t="shared" ref="J22:J32" si="14">A5</f>
        <v>Exercise</v>
      </c>
      <c r="K22" s="26" t="b">
        <v>0</v>
      </c>
      <c r="L22" s="26" t="b">
        <v>1</v>
      </c>
      <c r="M22" s="26" t="b">
        <v>1</v>
      </c>
      <c r="N22" s="26" t="b">
        <v>1</v>
      </c>
      <c r="O22" s="26" t="b">
        <v>1</v>
      </c>
      <c r="P22" s="26" t="b">
        <v>0</v>
      </c>
      <c r="Q22" s="32" t="b">
        <v>1</v>
      </c>
      <c r="S22" s="82" t="s">
        <v>6</v>
      </c>
      <c r="T22" s="26" t="b">
        <v>0</v>
      </c>
      <c r="U22" s="32" t="b">
        <v>1</v>
      </c>
    </row>
    <row r="23">
      <c r="A23" s="82" t="str">
        <f t="shared" si="13"/>
        <v>Stretch/Yoga (&gt;20min)</v>
      </c>
      <c r="B23" s="26" t="b">
        <v>1</v>
      </c>
      <c r="C23" s="26" t="b">
        <v>0</v>
      </c>
      <c r="D23" s="26" t="b">
        <v>1</v>
      </c>
      <c r="E23" s="27" t="b">
        <v>0</v>
      </c>
      <c r="F23" s="26" t="b">
        <v>1</v>
      </c>
      <c r="G23" s="26" t="b">
        <v>1</v>
      </c>
      <c r="H23" s="32" t="b">
        <v>0</v>
      </c>
      <c r="I23" s="30"/>
      <c r="J23" s="81" t="str">
        <f t="shared" si="14"/>
        <v>Stretch/Yoga (&gt;20min)</v>
      </c>
      <c r="K23" s="26" t="b">
        <v>0</v>
      </c>
      <c r="L23" s="26" t="b">
        <v>1</v>
      </c>
      <c r="M23" s="26" t="b">
        <v>1</v>
      </c>
      <c r="N23" s="26" t="b">
        <v>1</v>
      </c>
      <c r="O23" s="26" t="b">
        <v>1</v>
      </c>
      <c r="P23" s="26" t="b">
        <v>0</v>
      </c>
      <c r="Q23" s="32" t="b">
        <v>1</v>
      </c>
      <c r="S23" s="82" t="s">
        <v>8</v>
      </c>
      <c r="T23" s="26" t="b">
        <v>1</v>
      </c>
      <c r="U23" s="32" t="b">
        <v>1</v>
      </c>
    </row>
    <row r="24">
      <c r="A24" s="82" t="str">
        <f t="shared" si="13"/>
        <v>Social Media (&lt;limit)</v>
      </c>
      <c r="B24" s="26" t="b">
        <v>1</v>
      </c>
      <c r="C24" s="26" t="b">
        <v>1</v>
      </c>
      <c r="D24" s="26" t="b">
        <v>1</v>
      </c>
      <c r="E24" s="28" t="b">
        <v>1</v>
      </c>
      <c r="F24" s="26" t="b">
        <v>1</v>
      </c>
      <c r="G24" s="26" t="b">
        <v>1</v>
      </c>
      <c r="H24" s="32" t="b">
        <v>1</v>
      </c>
      <c r="I24" s="30"/>
      <c r="J24" s="81" t="str">
        <f t="shared" si="14"/>
        <v>Social Media (&lt;limit)</v>
      </c>
      <c r="K24" s="26" t="b">
        <v>1</v>
      </c>
      <c r="L24" s="26" t="b">
        <v>1</v>
      </c>
      <c r="M24" s="26" t="b">
        <v>1</v>
      </c>
      <c r="N24" s="26" t="b">
        <v>1</v>
      </c>
      <c r="O24" s="26" t="b">
        <v>1</v>
      </c>
      <c r="P24" s="26" t="b">
        <v>1</v>
      </c>
      <c r="Q24" s="32" t="b">
        <v>1</v>
      </c>
      <c r="S24" s="82" t="s">
        <v>10</v>
      </c>
      <c r="T24" s="26" t="b">
        <v>1</v>
      </c>
      <c r="U24" s="32" t="b">
        <v>1</v>
      </c>
    </row>
    <row r="25">
      <c r="A25" s="82" t="str">
        <f t="shared" si="13"/>
        <v>Eat in</v>
      </c>
      <c r="B25" s="26" t="b">
        <v>1</v>
      </c>
      <c r="C25" s="26" t="b">
        <v>0</v>
      </c>
      <c r="D25" s="26" t="b">
        <v>0</v>
      </c>
      <c r="E25" s="26" t="b">
        <v>1</v>
      </c>
      <c r="F25" s="26" t="b">
        <v>1</v>
      </c>
      <c r="G25" s="26" t="b">
        <v>1</v>
      </c>
      <c r="H25" s="32" t="b">
        <v>1</v>
      </c>
      <c r="I25" s="30"/>
      <c r="J25" s="81" t="str">
        <f t="shared" si="14"/>
        <v>Eat in</v>
      </c>
      <c r="K25" s="26" t="b">
        <v>0</v>
      </c>
      <c r="L25" s="26" t="b">
        <v>1</v>
      </c>
      <c r="M25" s="26" t="b">
        <v>1</v>
      </c>
      <c r="N25" s="26" t="b">
        <v>1</v>
      </c>
      <c r="O25" s="26" t="b">
        <v>1</v>
      </c>
      <c r="P25" s="26" t="b">
        <v>1</v>
      </c>
      <c r="Q25" s="32" t="b">
        <v>1</v>
      </c>
      <c r="S25" s="82" t="s">
        <v>12</v>
      </c>
      <c r="T25" s="26" t="b">
        <v>1</v>
      </c>
      <c r="U25" s="32" t="b">
        <v>1</v>
      </c>
    </row>
    <row r="26">
      <c r="A26" s="83" t="str">
        <f t="shared" si="13"/>
        <v>Review Budget/Goals</v>
      </c>
      <c r="B26" s="26" t="b">
        <v>1</v>
      </c>
      <c r="C26" s="26" t="b">
        <v>1</v>
      </c>
      <c r="D26" s="26" t="b">
        <v>1</v>
      </c>
      <c r="E26" s="26" t="b">
        <v>1</v>
      </c>
      <c r="F26" s="26" t="b">
        <v>1</v>
      </c>
      <c r="G26" s="26" t="b">
        <v>1</v>
      </c>
      <c r="H26" s="32" t="b">
        <v>1</v>
      </c>
      <c r="I26" s="30"/>
      <c r="J26" s="95" t="str">
        <f t="shared" si="14"/>
        <v>Review Budget/Goals</v>
      </c>
      <c r="K26" s="26" t="b">
        <v>1</v>
      </c>
      <c r="L26" s="26" t="b">
        <v>1</v>
      </c>
      <c r="M26" s="26" t="b">
        <v>1</v>
      </c>
      <c r="N26" s="26" t="b">
        <v>1</v>
      </c>
      <c r="O26" s="26" t="b">
        <v>1</v>
      </c>
      <c r="P26" s="26" t="b">
        <v>1</v>
      </c>
      <c r="Q26" s="32" t="b">
        <v>1</v>
      </c>
      <c r="S26" s="82" t="s">
        <v>14</v>
      </c>
      <c r="T26" s="26" t="b">
        <v>1</v>
      </c>
      <c r="U26" s="32" t="b">
        <v>1</v>
      </c>
    </row>
    <row r="27">
      <c r="A27" s="84" t="str">
        <f t="shared" si="13"/>
        <v>(2x)Brush+(1x)Floss</v>
      </c>
      <c r="B27" s="26" t="b">
        <v>1</v>
      </c>
      <c r="C27" s="26" t="b">
        <v>1</v>
      </c>
      <c r="D27" s="26" t="b">
        <v>1</v>
      </c>
      <c r="E27" s="27" t="b">
        <v>0</v>
      </c>
      <c r="F27" s="26" t="b">
        <v>1</v>
      </c>
      <c r="G27" s="26" t="b">
        <v>0</v>
      </c>
      <c r="H27" s="32" t="b">
        <v>0</v>
      </c>
      <c r="I27" s="30"/>
      <c r="J27" s="81" t="str">
        <f t="shared" si="14"/>
        <v>(2x)Brush+(1x)Floss</v>
      </c>
      <c r="K27" s="26" t="b">
        <v>0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0</v>
      </c>
      <c r="Q27" s="29" t="b">
        <v>0</v>
      </c>
      <c r="S27" s="82" t="s">
        <v>16</v>
      </c>
      <c r="T27" s="26" t="b">
        <v>1</v>
      </c>
      <c r="U27" s="32" t="b">
        <v>1</v>
      </c>
    </row>
    <row r="28">
      <c r="A28" s="82" t="str">
        <f t="shared" si="13"/>
        <v>Water (&gt;2.25L)</v>
      </c>
      <c r="B28" s="26" t="b">
        <v>1</v>
      </c>
      <c r="C28" s="26" t="b">
        <v>1</v>
      </c>
      <c r="D28" s="26" t="b">
        <v>1</v>
      </c>
      <c r="E28" s="27" t="b">
        <v>0</v>
      </c>
      <c r="F28" s="26" t="b">
        <v>1</v>
      </c>
      <c r="G28" s="26" t="b">
        <v>1</v>
      </c>
      <c r="H28" s="32" t="b">
        <v>1</v>
      </c>
      <c r="I28" s="30"/>
      <c r="J28" s="81" t="str">
        <f t="shared" si="14"/>
        <v>Water (&gt;2.25L)</v>
      </c>
      <c r="K28" s="26" t="b">
        <v>0</v>
      </c>
      <c r="L28" s="26" t="b">
        <v>1</v>
      </c>
      <c r="M28" s="26" t="b">
        <v>1</v>
      </c>
      <c r="N28" s="26" t="b">
        <v>1</v>
      </c>
      <c r="O28" s="26" t="b">
        <v>1</v>
      </c>
      <c r="P28" s="26" t="b">
        <v>1</v>
      </c>
      <c r="Q28" s="32" t="b">
        <v>1</v>
      </c>
      <c r="S28" s="82" t="s">
        <v>18</v>
      </c>
      <c r="T28" s="26" t="b">
        <v>1</v>
      </c>
      <c r="U28" s="32" t="b">
        <v>1</v>
      </c>
    </row>
    <row r="29">
      <c r="A29" s="82" t="str">
        <f t="shared" si="13"/>
        <v>7 hours sleep</v>
      </c>
      <c r="B29" s="26" t="b">
        <v>0</v>
      </c>
      <c r="C29" s="26" t="b">
        <v>1</v>
      </c>
      <c r="D29" s="26" t="b">
        <v>1</v>
      </c>
      <c r="E29" s="26" t="b">
        <v>1</v>
      </c>
      <c r="F29" s="26" t="b">
        <v>1</v>
      </c>
      <c r="G29" s="26" t="b">
        <v>1</v>
      </c>
      <c r="H29" s="32" t="b">
        <v>1</v>
      </c>
      <c r="I29" s="30"/>
      <c r="J29" s="81" t="str">
        <f t="shared" si="14"/>
        <v>7 hours sleep</v>
      </c>
      <c r="K29" s="26" t="b">
        <v>1</v>
      </c>
      <c r="L29" s="26" t="b">
        <v>1</v>
      </c>
      <c r="M29" s="26" t="b">
        <v>1</v>
      </c>
      <c r="N29" s="26" t="b">
        <v>1</v>
      </c>
      <c r="O29" s="26" t="b">
        <v>0</v>
      </c>
      <c r="P29" s="26" t="b">
        <v>1</v>
      </c>
      <c r="Q29" s="32" t="b">
        <v>1</v>
      </c>
      <c r="S29" s="82" t="s">
        <v>20</v>
      </c>
      <c r="T29" s="26" t="b">
        <v>1</v>
      </c>
      <c r="U29" s="32" t="b">
        <v>1</v>
      </c>
    </row>
    <row r="30">
      <c r="A30" s="82" t="str">
        <f t="shared" si="13"/>
        <v>Clean (~20 min)</v>
      </c>
      <c r="B30" s="26" t="b">
        <v>1</v>
      </c>
      <c r="C30" s="26" t="b">
        <v>1</v>
      </c>
      <c r="D30" s="26" t="b">
        <v>1</v>
      </c>
      <c r="E30" s="26" t="b">
        <v>1</v>
      </c>
      <c r="F30" s="26" t="b">
        <v>1</v>
      </c>
      <c r="G30" s="26" t="b">
        <v>0</v>
      </c>
      <c r="H30" s="32" t="b">
        <v>1</v>
      </c>
      <c r="I30" s="30"/>
      <c r="J30" s="81" t="str">
        <f t="shared" si="14"/>
        <v>Clean (~20 min)</v>
      </c>
      <c r="K30" s="26" t="b">
        <v>1</v>
      </c>
      <c r="L30" s="26" t="b">
        <v>1</v>
      </c>
      <c r="M30" s="26" t="b">
        <v>1</v>
      </c>
      <c r="N30" s="26" t="b">
        <v>1</v>
      </c>
      <c r="O30" s="26" t="b">
        <v>1</v>
      </c>
      <c r="P30" s="26" t="b">
        <v>1</v>
      </c>
      <c r="Q30" s="32" t="b">
        <v>1</v>
      </c>
      <c r="S30" s="82" t="s">
        <v>22</v>
      </c>
      <c r="T30" s="26" t="b">
        <v>1</v>
      </c>
      <c r="U30" s="32" t="b">
        <v>1</v>
      </c>
    </row>
    <row r="31">
      <c r="A31" s="82" t="str">
        <f t="shared" si="13"/>
        <v>Read(~30 min)</v>
      </c>
      <c r="B31" s="26" t="b">
        <v>0</v>
      </c>
      <c r="C31" s="26" t="b">
        <v>1</v>
      </c>
      <c r="D31" s="27" t="b">
        <v>0</v>
      </c>
      <c r="E31" s="27" t="b">
        <v>0</v>
      </c>
      <c r="F31" s="27" t="b">
        <v>0</v>
      </c>
      <c r="G31" s="26" t="b">
        <v>0</v>
      </c>
      <c r="H31" s="32" t="b">
        <v>0</v>
      </c>
      <c r="I31" s="30"/>
      <c r="J31" s="81" t="str">
        <f t="shared" si="14"/>
        <v>Read(~30 min)</v>
      </c>
      <c r="K31" s="26" t="b">
        <v>0</v>
      </c>
      <c r="L31" s="26" t="b">
        <v>0</v>
      </c>
      <c r="M31" s="26" t="b">
        <v>0</v>
      </c>
      <c r="N31" s="26" t="b">
        <v>0</v>
      </c>
      <c r="O31" s="26" t="b">
        <v>1</v>
      </c>
      <c r="P31" s="26" t="b">
        <v>0</v>
      </c>
      <c r="Q31" s="29" t="b">
        <v>0</v>
      </c>
      <c r="S31" s="85" t="s">
        <v>24</v>
      </c>
      <c r="T31" s="38" t="b">
        <v>0</v>
      </c>
      <c r="U31" s="39" t="b">
        <v>1</v>
      </c>
    </row>
    <row r="32">
      <c r="A32" s="86" t="str">
        <f t="shared" si="13"/>
        <v>Vitamins</v>
      </c>
      <c r="B32" s="38" t="b">
        <v>1</v>
      </c>
      <c r="C32" s="38" t="b">
        <v>1</v>
      </c>
      <c r="D32" s="38" t="b">
        <v>1</v>
      </c>
      <c r="E32" s="38" t="b">
        <v>1</v>
      </c>
      <c r="F32" s="38" t="b">
        <v>1</v>
      </c>
      <c r="G32" s="38" t="b">
        <v>1</v>
      </c>
      <c r="H32" s="39" t="b">
        <v>1</v>
      </c>
      <c r="I32" s="30"/>
      <c r="J32" s="86" t="str">
        <f t="shared" si="14"/>
        <v>Vitamins</v>
      </c>
      <c r="K32" s="38" t="b">
        <v>1</v>
      </c>
      <c r="L32" s="38" t="b">
        <v>1</v>
      </c>
      <c r="M32" s="38" t="b">
        <v>1</v>
      </c>
      <c r="N32" s="38" t="b">
        <v>1</v>
      </c>
      <c r="O32" s="38" t="b">
        <v>1</v>
      </c>
      <c r="P32" s="38" t="b">
        <v>1</v>
      </c>
      <c r="Q32" s="39" t="b">
        <v>1</v>
      </c>
      <c r="S32" s="88" t="s">
        <v>27</v>
      </c>
      <c r="T32" s="68">
        <f t="shared" ref="T32:U32" si="15">COUNTIF(T22:T31,True)/COUNTA(T22:T31)</f>
        <v>0.8</v>
      </c>
      <c r="U32" s="69">
        <f t="shared" si="15"/>
        <v>1</v>
      </c>
    </row>
    <row r="33">
      <c r="A33" s="88" t="s">
        <v>27</v>
      </c>
      <c r="B33" s="44">
        <f t="shared" ref="B33:H33" si="16">COUNTIF(B22:B32,True)/COUNTA(B22:B32)</f>
        <v>0.8181818182</v>
      </c>
      <c r="C33" s="44">
        <f t="shared" si="16"/>
        <v>0.8181818182</v>
      </c>
      <c r="D33" s="44">
        <f t="shared" si="16"/>
        <v>0.8181818182</v>
      </c>
      <c r="E33" s="44">
        <f t="shared" si="16"/>
        <v>0.5454545455</v>
      </c>
      <c r="F33" s="44">
        <f t="shared" si="16"/>
        <v>0.9090909091</v>
      </c>
      <c r="G33" s="44">
        <f t="shared" si="16"/>
        <v>0.6363636364</v>
      </c>
      <c r="H33" s="45">
        <f t="shared" si="16"/>
        <v>0.6363636364</v>
      </c>
      <c r="I33" s="21"/>
      <c r="J33" s="89" t="s">
        <v>27</v>
      </c>
      <c r="K33" s="44">
        <f t="shared" ref="K33:Q33" si="17">COUNTIF(K22:K32,True)/COUNTA(K22:K32)</f>
        <v>0.4545454545</v>
      </c>
      <c r="L33" s="44">
        <f t="shared" si="17"/>
        <v>0.9090909091</v>
      </c>
      <c r="M33" s="44">
        <f t="shared" si="17"/>
        <v>0.9090909091</v>
      </c>
      <c r="N33" s="44">
        <f t="shared" si="17"/>
        <v>0.9090909091</v>
      </c>
      <c r="O33" s="44">
        <f t="shared" si="17"/>
        <v>0.9090909091</v>
      </c>
      <c r="P33" s="44">
        <f t="shared" si="17"/>
        <v>0.6363636364</v>
      </c>
      <c r="Q33" s="45">
        <f t="shared" si="17"/>
        <v>0.8181818182</v>
      </c>
      <c r="S33" s="90" t="s">
        <v>29</v>
      </c>
      <c r="T33" s="49" t="str">
        <f>IFERROR(__xludf.DUMMYFUNCTION("SPARKLINE(T32,{""charttype"",""bar"";""max"",1;""min"",0;""color1"",IF(T32&gt;0.7,""green"",IF(T32&gt;0.5,""yellow"",""red""))})"),"")</f>
        <v/>
      </c>
      <c r="U33" s="50" t="str">
        <f>IFERROR(__xludf.DUMMYFUNCTION("SPARKLINE(U32,{""charttype"",""bar"";""max"",1;""min"",0;""color1"",IF(U32&gt;0.7,""green"",IF(U32&gt;0.5,""yellow"",""red""))})"),"")</f>
        <v/>
      </c>
    </row>
    <row r="34">
      <c r="A34" s="90" t="s">
        <v>29</v>
      </c>
      <c r="B34" s="49" t="str">
        <f>IFERROR(__xludf.DUMMYFUNCTION("SPARKLINE(B33,{""charttype"",""bar"";""max"",1;""min"",0;""color1"",IF(B33&gt;0.7,""green"",IF(B33&gt;0.5,""yellow"",""red""))})"),"")</f>
        <v/>
      </c>
      <c r="C34" s="49" t="str">
        <f>IFERROR(__xludf.DUMMYFUNCTION("SPARKLINE(C33,{""charttype"",""bar"";""max"",1;""min"",0;""color1"",IF(C33&gt;0.7,""green"",IF(C33&gt;0.5,""yellow"",""red""))})"),"")</f>
        <v/>
      </c>
      <c r="D34" s="49" t="str">
        <f>IFERROR(__xludf.DUMMYFUNCTION("SPARKLINE(D33,{""charttype"",""bar"";""max"",1;""min"",0;""color1"",IF(D33&gt;0.7,""green"",IF(D33&gt;0.5,""yellow"",""red""))})"),"")</f>
        <v/>
      </c>
      <c r="E34" s="49" t="str">
        <f>IFERROR(__xludf.DUMMYFUNCTION("SPARKLINE(E33,{""charttype"",""bar"";""max"",1;""min"",0;""color1"",IF(E33&gt;0.7,""green"",IF(E33&gt;0.5,""yellow"",""red""))})"),"")</f>
        <v/>
      </c>
      <c r="F34" s="49" t="str">
        <f>IFERROR(__xludf.DUMMYFUNCTION("SPARKLINE(F33,{""charttype"",""bar"";""max"",1;""min"",0;""color1"",IF(F33&gt;0.7,""green"",IF(F33&gt;0.5,""yellow"",""red""))})"),"")</f>
        <v/>
      </c>
      <c r="G34" s="49" t="str">
        <f>IFERROR(__xludf.DUMMYFUNCTION("SPARKLINE(G33,{""charttype"",""bar"";""max"",1;""min"",0;""color1"",IF(G33&gt;0.7,""green"",IF(G33&gt;0.5,""yellow"",""red""))})"),"")</f>
        <v/>
      </c>
      <c r="H34" s="50" t="str">
        <f>IFERROR(__xludf.DUMMYFUNCTION("SPARKLINE(H33,{""charttype"",""bar"";""max"",1;""min"",0;""color1"",IF(H33&gt;0.7,""green"",IF(H33&gt;0.5,""yellow"",""red""))})"),"")</f>
        <v/>
      </c>
      <c r="J34" s="90" t="s">
        <v>29</v>
      </c>
      <c r="K34" s="49" t="str">
        <f>IFERROR(__xludf.DUMMYFUNCTION("SPARKLINE(K33,{""charttype"",""bar"";""max"",1;""min"",0;""color1"",IF(K33&gt;0.7,""green"",IF(K33&gt;0.5,""yellow"",""red""))})"),"")</f>
        <v/>
      </c>
      <c r="L34" s="49" t="str">
        <f>IFERROR(__xludf.DUMMYFUNCTION("SPARKLINE(L33,{""charttype"",""bar"";""max"",1;""min"",0;""color1"",IF(L33&gt;0.7,""green"",IF(L33&gt;0.5,""yellow"",""red""))})"),"")</f>
        <v/>
      </c>
      <c r="M34" s="49" t="str">
        <f>IFERROR(__xludf.DUMMYFUNCTION("SPARKLINE(M33,{""charttype"",""bar"";""max"",1;""min"",0;""color1"",IF(M33&gt;0.7,""green"",IF(M33&gt;0.5,""yellow"",""red""))})"),"")</f>
        <v/>
      </c>
      <c r="N34" s="49" t="str">
        <f>IFERROR(__xludf.DUMMYFUNCTION("SPARKLINE(N33,{""charttype"",""bar"";""max"",1;""min"",0;""color1"",IF(N33&gt;0.7,""green"",IF(N33&gt;0.5,""yellow"",""red""))})"),"")</f>
        <v/>
      </c>
      <c r="O34" s="49" t="str">
        <f>IFERROR(__xludf.DUMMYFUNCTION("SPARKLINE(O33,{""charttype"",""bar"";""max"",1;""min"",0;""color1"",IF(O33&gt;0.7,""green"",IF(O33&gt;0.5,""yellow"",""red""))})"),"")</f>
        <v/>
      </c>
      <c r="P34" s="49" t="str">
        <f>IFERROR(__xludf.DUMMYFUNCTION("SPARKLINE(P33,{""charttype"",""bar"";""max"",1;""min"",0;""color1"",IF(P33&gt;0.7,""green"",IF(P33&gt;0.5,""yellow"",""red""))})"),"")</f>
        <v/>
      </c>
      <c r="Q34" s="50" t="str">
        <f>IFERROR(__xludf.DUMMYFUNCTION("SPARKLINE(Q33,{""charttype"",""bar"";""max"",1;""min"",0;""color1"",IF(Q33&gt;0.7,""green"",IF(Q33&gt;0.5,""yellow"",""red""))})"),"")</f>
        <v/>
      </c>
    </row>
    <row r="35">
      <c r="A35" s="90" t="s">
        <v>42</v>
      </c>
      <c r="B35" s="53" t="str">
        <f>IFERROR(__xludf.DUMMYFUNCTION("SPARKLINE((SUM(B33:H33)+3*T32)/10,{""charttype"",""bar"";""max"",1;""min"",0;""color1"",IF((SUM(B33:H33)+3*T32)/10&gt;0.7,""green"",IF((SUM(B33:H33)+3*T32)/10&gt;0.5,""yellow"",""red""))})"),"")</f>
        <v/>
      </c>
      <c r="C35" s="54"/>
      <c r="D35" s="54"/>
      <c r="E35" s="54"/>
      <c r="F35" s="54"/>
      <c r="G35" s="54"/>
      <c r="H35" s="41"/>
      <c r="J35" s="90" t="s">
        <v>42</v>
      </c>
      <c r="K35" s="53" t="str">
        <f>IFERROR(__xludf.DUMMYFUNCTION("SPARKLINE((SUM(K33:Q33)+3*U32)/10,{""charttype"",""bar"";""max"",1;""min"",0;""color1"",IF((SUM(K33:Q33)+3*U32)/10&gt;0.7,""green"",IF((SUM(K33:Q33)+3*U32)/10&gt;0.5,""yellow"",""red""))})"),"")</f>
        <v/>
      </c>
      <c r="L35" s="54"/>
      <c r="M35" s="54"/>
      <c r="N35" s="54"/>
      <c r="O35" s="54"/>
      <c r="P35" s="54"/>
      <c r="Q35" s="41"/>
    </row>
    <row r="55">
      <c r="N55" s="70"/>
      <c r="O55" s="71"/>
      <c r="P55" s="71"/>
    </row>
  </sheetData>
  <mergeCells count="11">
    <mergeCell ref="B18:H18"/>
    <mergeCell ref="K18:Q18"/>
    <mergeCell ref="B35:H35"/>
    <mergeCell ref="K35:Q35"/>
    <mergeCell ref="C1:Q2"/>
    <mergeCell ref="R1:R2"/>
    <mergeCell ref="S1:S2"/>
    <mergeCell ref="T1:U2"/>
    <mergeCell ref="W1:W2"/>
    <mergeCell ref="X1:X2"/>
    <mergeCell ref="W14:X14"/>
  </mergeCells>
  <conditionalFormatting sqref="R1">
    <cfRule type="cellIs" dxfId="6" priority="1" operator="between">
      <formula>0</formula>
      <formula>0.05</formula>
    </cfRule>
  </conditionalFormatting>
  <conditionalFormatting sqref="R1">
    <cfRule type="cellIs" dxfId="1" priority="2" operator="between">
      <formula>0.05</formula>
      <formula>0.25</formula>
    </cfRule>
  </conditionalFormatting>
  <conditionalFormatting sqref="T13:U15 B16:H16 K16:Q16 X19 T32:U32 B33:H33 K33:Q33">
    <cfRule type="cellIs" dxfId="1" priority="3" operator="between">
      <formula>0.1</formula>
      <formula>0.25</formula>
    </cfRule>
  </conditionalFormatting>
  <conditionalFormatting sqref="R1 T14:U14 B16:H16 K16:Q16 T32:U32 B33:H33 K33:Q33">
    <cfRule type="cellIs" dxfId="0" priority="4" operator="between">
      <formula>0.251</formula>
      <formula>0.5</formula>
    </cfRule>
  </conditionalFormatting>
  <conditionalFormatting sqref="T14:U14 B16:H16 K16:Q16 T32:U32 B33:H33 K33:Q33">
    <cfRule type="cellIs" dxfId="2" priority="5" operator="between">
      <formula>0.51</formula>
      <formula>0.7</formula>
    </cfRule>
  </conditionalFormatting>
  <conditionalFormatting sqref="R1 T14:U14 B16:H16 K16:Q16 T32:U32 B33:H33 K33:Q33">
    <cfRule type="cellIs" dxfId="3" priority="6" operator="between">
      <formula>0.71</formula>
      <formula>0.99</formula>
    </cfRule>
  </conditionalFormatting>
  <conditionalFormatting sqref="T4:U14 B5:H15 K5:Q15 X15:X18 B22:H32 K22:Q32 T22:U31">
    <cfRule type="cellIs" dxfId="3" priority="7" operator="equal">
      <formula>"TRUE"</formula>
    </cfRule>
  </conditionalFormatting>
  <conditionalFormatting sqref="T4:U13 T22:U31">
    <cfRule type="cellIs" dxfId="3" priority="8" operator="equal">
      <formula>"TRUE"</formula>
    </cfRule>
  </conditionalFormatting>
  <conditionalFormatting sqref="T11:U11 T26:U26">
    <cfRule type="cellIs" dxfId="1" priority="9" operator="between">
      <formula>0.1</formula>
      <formula>0.25</formula>
    </cfRule>
  </conditionalFormatting>
  <conditionalFormatting sqref="T11:U11 T15:U15 X19 T26:U26">
    <cfRule type="cellIs" dxfId="0" priority="10" operator="between">
      <formula>0.26</formula>
      <formula>0.5</formula>
    </cfRule>
  </conditionalFormatting>
  <conditionalFormatting sqref="R1 T10:U11 T13:U15 X19 T26:U26 T32:U32">
    <cfRule type="cellIs" dxfId="2" priority="11" operator="between">
      <formula>0.51</formula>
      <formula>0.75</formula>
    </cfRule>
  </conditionalFormatting>
  <conditionalFormatting sqref="T10:U11 T13:U15 X19 T26:U26 T32:U32">
    <cfRule type="cellIs" dxfId="4" priority="12" operator="between">
      <formula>0.76</formula>
      <formula>0.99</formula>
    </cfRule>
  </conditionalFormatting>
  <conditionalFormatting sqref="R1 T13:U15 B16:H16 K16:Q16 X19 T32:U32 B33:H33 K33:Q33">
    <cfRule type="cellIs" dxfId="5" priority="13" operator="greaterThanOrEqual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  <col customWidth="1" min="2" max="2" width="8.38"/>
    <col customWidth="1" min="3" max="8" width="7.38"/>
    <col customWidth="1" min="9" max="9" width="5.0"/>
    <col customWidth="1" min="10" max="10" width="18.5"/>
    <col customWidth="1" min="11" max="13" width="7.38"/>
    <col customWidth="1" min="14" max="14" width="10.5"/>
    <col customWidth="1" min="15" max="17" width="7.38"/>
    <col customWidth="1" min="18" max="18" width="11.88"/>
    <col customWidth="1" min="19" max="19" width="16.25"/>
    <col customWidth="1" min="20" max="20" width="6.63"/>
    <col customWidth="1" min="21" max="21" width="6.75"/>
    <col customWidth="1" min="22" max="22" width="4.25"/>
    <col customWidth="1" min="23" max="23" width="13.5"/>
  </cols>
  <sheetData>
    <row r="1">
      <c r="A1" s="1"/>
      <c r="C1" s="2" t="str">
        <f>IFERROR(__xludf.DUMMYFUNCTION("SPARKLINE((SUM(B16:H16)+3*SUM(T15:U15) + SUM(K16:Q16) + SUM(B33:H33) + SUM(K33:Q33) + 3*SUM(T32:U32)+ 5*SUM(X19))/45,{""charttype"",""bar"";""max"",1;""min"",0;""color1"",IF((SUM(B16:H16)+3*SUM(T15:U15) + SUM(K16:Q16) + SUM(B33:H33) + SUM(K33:Q33) + 3*SUM"&amp;"(T32:U32)+ 5*SUM(X19))/45&gt;0.7,""green"",IF((SUM(B16:H16)+3*SUM(T15:U15) + SUM(K16:Q16) + SUM(B33:H33) + SUM(K33:Q33) + 3*SUM(T32:U32)+ 5*SUM(X19))/45&gt;0.5,""yellow"",""red""))})"),"")</f>
        <v/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>
        <f>(SUM(B16:H16)+3*SUM(T15:U15) + SUM(K16:Q16) + SUM(B33:H33) + SUM(K33:Q33) + 3*SUM(T32:U32) + 5*SUM(X19))/45</f>
        <v>0.7038383838</v>
      </c>
      <c r="S1" s="72" t="s">
        <v>0</v>
      </c>
      <c r="T1" s="73">
        <f t="array" ref="T1">COUNTIF(B5:H15,TRUE)+COUNTIF(K5:Q15,TRUE)+COUNTIF(B22:H32,TRUE)+COUNTIF(K22:Q32,TRUE)+3*(COUNTIF(T5:U14,TRUE)+COUNTIF(T22:U31,TRUE))+5*(COUNTIF(X15:X18,TRUE))</f>
        <v>305</v>
      </c>
      <c r="U1" s="4"/>
      <c r="W1" s="74" t="s">
        <v>38</v>
      </c>
      <c r="X1" s="75">
        <f>T1</f>
        <v>305</v>
      </c>
    </row>
    <row r="2">
      <c r="A2" s="8">
        <v>44927.0</v>
      </c>
      <c r="B2" s="70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2"/>
      <c r="S2" s="9"/>
      <c r="T2" s="10"/>
      <c r="U2" s="11"/>
      <c r="W2" s="9"/>
      <c r="X2" s="11"/>
    </row>
    <row r="3">
      <c r="A3" s="96" t="s">
        <v>1</v>
      </c>
      <c r="B3" s="97">
        <f>DATE(YEAR(A2),MONTH(A2),1)+MOD(9-WEEKDAY(DATE(YEAR(A2),MONTH(A2),1)),7)</f>
        <v>44928</v>
      </c>
      <c r="C3" s="98">
        <f t="shared" ref="C3:H3" si="1">B3+1</f>
        <v>44929</v>
      </c>
      <c r="D3" s="98">
        <f t="shared" si="1"/>
        <v>44930</v>
      </c>
      <c r="E3" s="98">
        <f t="shared" si="1"/>
        <v>44931</v>
      </c>
      <c r="F3" s="98">
        <f t="shared" si="1"/>
        <v>44932</v>
      </c>
      <c r="G3" s="98">
        <f t="shared" si="1"/>
        <v>44933</v>
      </c>
      <c r="H3" s="99">
        <f t="shared" si="1"/>
        <v>44934</v>
      </c>
      <c r="I3" s="17"/>
      <c r="J3" s="96" t="s">
        <v>2</v>
      </c>
      <c r="K3" s="98">
        <f>H3+1</f>
        <v>44935</v>
      </c>
      <c r="L3" s="98">
        <f t="shared" ref="L3:Q3" si="2">K3+1</f>
        <v>44936</v>
      </c>
      <c r="M3" s="98">
        <f t="shared" si="2"/>
        <v>44937</v>
      </c>
      <c r="N3" s="98">
        <f t="shared" si="2"/>
        <v>44938</v>
      </c>
      <c r="O3" s="98">
        <f t="shared" si="2"/>
        <v>44939</v>
      </c>
      <c r="P3" s="98">
        <f t="shared" si="2"/>
        <v>44940</v>
      </c>
      <c r="Q3" s="99">
        <f t="shared" si="2"/>
        <v>44941</v>
      </c>
    </row>
    <row r="4">
      <c r="A4" s="100" t="s">
        <v>3</v>
      </c>
      <c r="B4" s="101" t="str">
        <f t="shared" ref="B4:H4" si="3">CHOOSE(WEEKDAY(B3,2),"Mon","Tue","Wed","Thu","Fri","Sat","Sun")</f>
        <v>Mon</v>
      </c>
      <c r="C4" s="101" t="str">
        <f t="shared" si="3"/>
        <v>Tue</v>
      </c>
      <c r="D4" s="101" t="str">
        <f t="shared" si="3"/>
        <v>Wed</v>
      </c>
      <c r="E4" s="101" t="str">
        <f t="shared" si="3"/>
        <v>Thu</v>
      </c>
      <c r="F4" s="101" t="str">
        <f t="shared" si="3"/>
        <v>Fri</v>
      </c>
      <c r="G4" s="101" t="str">
        <f t="shared" si="3"/>
        <v>Sat</v>
      </c>
      <c r="H4" s="102" t="str">
        <f t="shared" si="3"/>
        <v>Sun</v>
      </c>
      <c r="I4" s="103"/>
      <c r="J4" s="104" t="s">
        <v>3</v>
      </c>
      <c r="K4" s="101" t="str">
        <f t="shared" ref="K4:Q4" si="4">CHOOSE(WEEKDAY(K3,2),"Mon","Tue","Wed","Thu","Fri","Sat","Sun")</f>
        <v>Mon</v>
      </c>
      <c r="L4" s="101" t="str">
        <f t="shared" si="4"/>
        <v>Tue</v>
      </c>
      <c r="M4" s="101" t="str">
        <f t="shared" si="4"/>
        <v>Wed</v>
      </c>
      <c r="N4" s="101" t="str">
        <f t="shared" si="4"/>
        <v>Thu</v>
      </c>
      <c r="O4" s="101" t="str">
        <f t="shared" si="4"/>
        <v>Fri</v>
      </c>
      <c r="P4" s="101" t="str">
        <f t="shared" si="4"/>
        <v>Sat</v>
      </c>
      <c r="Q4" s="102" t="str">
        <f t="shared" si="4"/>
        <v>Sun</v>
      </c>
      <c r="S4" s="105" t="s">
        <v>4</v>
      </c>
      <c r="T4" s="23" t="s">
        <v>1</v>
      </c>
      <c r="U4" s="24" t="s">
        <v>2</v>
      </c>
    </row>
    <row r="5">
      <c r="A5" s="79" t="s">
        <v>5</v>
      </c>
      <c r="B5" s="26" t="b">
        <v>1</v>
      </c>
      <c r="C5" s="26" t="b">
        <v>1</v>
      </c>
      <c r="D5" s="26" t="b">
        <v>1</v>
      </c>
      <c r="E5" s="28" t="b">
        <v>1</v>
      </c>
      <c r="F5" s="26" t="b">
        <v>1</v>
      </c>
      <c r="G5" s="26" t="b">
        <v>0</v>
      </c>
      <c r="H5" s="32" t="b">
        <v>1</v>
      </c>
      <c r="I5" s="30"/>
      <c r="J5" s="81" t="str">
        <f t="shared" ref="J5:J15" si="5">A5</f>
        <v>Exercise</v>
      </c>
      <c r="K5" s="26" t="b">
        <v>1</v>
      </c>
      <c r="L5" s="26" t="b">
        <v>1</v>
      </c>
      <c r="M5" s="26" t="b">
        <v>0</v>
      </c>
      <c r="N5" s="26" t="b">
        <v>0</v>
      </c>
      <c r="O5" s="26" t="b">
        <v>0</v>
      </c>
      <c r="P5" s="26" t="b">
        <v>0</v>
      </c>
      <c r="Q5" s="32" t="b">
        <v>0</v>
      </c>
      <c r="S5" s="82" t="s">
        <v>6</v>
      </c>
      <c r="T5" s="26" t="b">
        <v>1</v>
      </c>
      <c r="U5" s="32" t="b">
        <v>1</v>
      </c>
    </row>
    <row r="6">
      <c r="A6" s="79" t="s">
        <v>7</v>
      </c>
      <c r="B6" s="26" t="b">
        <v>0</v>
      </c>
      <c r="C6" s="26" t="b">
        <v>1</v>
      </c>
      <c r="D6" s="26" t="b">
        <v>0</v>
      </c>
      <c r="E6" s="26" t="b">
        <v>1</v>
      </c>
      <c r="F6" s="26" t="b">
        <v>0</v>
      </c>
      <c r="G6" s="26" t="b">
        <v>0</v>
      </c>
      <c r="H6" s="32" t="b">
        <v>0</v>
      </c>
      <c r="I6" s="30"/>
      <c r="J6" s="81" t="str">
        <f t="shared" si="5"/>
        <v>Stretch/Yoga (&gt;20min)</v>
      </c>
      <c r="K6" s="26" t="b">
        <v>0</v>
      </c>
      <c r="L6" s="26" t="b">
        <v>0</v>
      </c>
      <c r="M6" s="26" t="b">
        <v>1</v>
      </c>
      <c r="N6" s="26" t="b">
        <v>0</v>
      </c>
      <c r="O6" s="26" t="b">
        <v>0</v>
      </c>
      <c r="P6" s="26" t="b">
        <v>0</v>
      </c>
      <c r="Q6" s="32" t="b">
        <v>0</v>
      </c>
      <c r="S6" s="82" t="s">
        <v>8</v>
      </c>
      <c r="T6" s="26" t="b">
        <v>1</v>
      </c>
      <c r="U6" s="32" t="b">
        <v>1</v>
      </c>
    </row>
    <row r="7">
      <c r="A7" s="79" t="s">
        <v>39</v>
      </c>
      <c r="B7" s="26" t="b">
        <v>1</v>
      </c>
      <c r="C7" s="26" t="b">
        <v>1</v>
      </c>
      <c r="D7" s="26" t="b">
        <v>1</v>
      </c>
      <c r="E7" s="28" t="b">
        <v>1</v>
      </c>
      <c r="F7" s="26" t="b">
        <v>1</v>
      </c>
      <c r="G7" s="26" t="b">
        <v>1</v>
      </c>
      <c r="H7" s="32" t="b">
        <v>1</v>
      </c>
      <c r="I7" s="30"/>
      <c r="J7" s="81" t="str">
        <f t="shared" si="5"/>
        <v>Social Media (&lt;limit)</v>
      </c>
      <c r="K7" s="26" t="b">
        <v>1</v>
      </c>
      <c r="L7" s="26" t="b">
        <v>1</v>
      </c>
      <c r="M7" s="26" t="b">
        <v>1</v>
      </c>
      <c r="N7" s="26" t="b">
        <v>1</v>
      </c>
      <c r="O7" s="26" t="b">
        <v>1</v>
      </c>
      <c r="P7" s="26" t="b">
        <v>1</v>
      </c>
      <c r="Q7" s="32" t="b">
        <v>0</v>
      </c>
      <c r="S7" s="82" t="s">
        <v>10</v>
      </c>
      <c r="T7" s="26" t="b">
        <v>1</v>
      </c>
      <c r="U7" s="32" t="b">
        <v>0</v>
      </c>
    </row>
    <row r="8">
      <c r="A8" s="79" t="s">
        <v>11</v>
      </c>
      <c r="B8" s="26" t="b">
        <v>1</v>
      </c>
      <c r="C8" s="26" t="b">
        <v>1</v>
      </c>
      <c r="D8" s="26" t="b">
        <v>1</v>
      </c>
      <c r="E8" s="26" t="b">
        <v>1</v>
      </c>
      <c r="F8" s="26" t="b">
        <v>1</v>
      </c>
      <c r="G8" s="26" t="b">
        <v>1</v>
      </c>
      <c r="H8" s="32" t="b">
        <v>1</v>
      </c>
      <c r="I8" s="30"/>
      <c r="J8" s="81" t="str">
        <f t="shared" si="5"/>
        <v>Eat in</v>
      </c>
      <c r="K8" s="26" t="b">
        <v>1</v>
      </c>
      <c r="L8" s="26" t="b">
        <v>1</v>
      </c>
      <c r="M8" s="26" t="b">
        <v>1</v>
      </c>
      <c r="N8" s="26" t="b">
        <v>0</v>
      </c>
      <c r="O8" s="26" t="b">
        <v>0</v>
      </c>
      <c r="P8" s="26" t="b">
        <v>0</v>
      </c>
      <c r="Q8" s="32" t="b">
        <v>0</v>
      </c>
      <c r="S8" s="82" t="s">
        <v>12</v>
      </c>
      <c r="T8" s="26" t="b">
        <v>1</v>
      </c>
      <c r="U8" s="32" t="b">
        <v>0</v>
      </c>
    </row>
    <row r="9">
      <c r="A9" s="83" t="s">
        <v>13</v>
      </c>
      <c r="B9" s="26" t="b">
        <v>1</v>
      </c>
      <c r="C9" s="26" t="b">
        <v>1</v>
      </c>
      <c r="D9" s="26" t="b">
        <v>1</v>
      </c>
      <c r="E9" s="26" t="b">
        <v>1</v>
      </c>
      <c r="F9" s="26" t="b">
        <v>1</v>
      </c>
      <c r="G9" s="26" t="b">
        <v>1</v>
      </c>
      <c r="H9" s="32" t="b">
        <v>1</v>
      </c>
      <c r="I9" s="30"/>
      <c r="J9" s="81" t="str">
        <f t="shared" si="5"/>
        <v>Review Budget/Goals</v>
      </c>
      <c r="K9" s="26" t="b">
        <v>1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32" t="b">
        <v>1</v>
      </c>
      <c r="S9" s="82" t="s">
        <v>14</v>
      </c>
      <c r="T9" s="26" t="b">
        <v>0</v>
      </c>
      <c r="U9" s="32" t="b">
        <v>0</v>
      </c>
    </row>
    <row r="10">
      <c r="A10" s="84" t="s">
        <v>37</v>
      </c>
      <c r="B10" s="26" t="b">
        <v>1</v>
      </c>
      <c r="C10" s="26" t="b">
        <v>1</v>
      </c>
      <c r="D10" s="26" t="b">
        <v>1</v>
      </c>
      <c r="E10" s="26" t="b">
        <v>1</v>
      </c>
      <c r="F10" s="26" t="b">
        <v>0</v>
      </c>
      <c r="G10" s="26" t="b">
        <v>0</v>
      </c>
      <c r="H10" s="32" t="b">
        <v>1</v>
      </c>
      <c r="I10" s="106"/>
      <c r="J10" s="81" t="str">
        <f t="shared" si="5"/>
        <v>(2x)Brush+(1x)Floss</v>
      </c>
      <c r="K10" s="26" t="b">
        <v>1</v>
      </c>
      <c r="L10" s="26" t="b">
        <v>1</v>
      </c>
      <c r="M10" s="26" t="b">
        <v>0</v>
      </c>
      <c r="N10" s="26" t="b">
        <v>0</v>
      </c>
      <c r="O10" s="26" t="b">
        <v>0</v>
      </c>
      <c r="P10" s="26" t="b">
        <v>0</v>
      </c>
      <c r="Q10" s="32" t="b">
        <v>0</v>
      </c>
      <c r="S10" s="82" t="s">
        <v>16</v>
      </c>
      <c r="T10" s="26" t="b">
        <v>1</v>
      </c>
      <c r="U10" s="32" t="b">
        <v>0</v>
      </c>
    </row>
    <row r="11">
      <c r="A11" s="79" t="s">
        <v>43</v>
      </c>
      <c r="B11" s="26" t="b">
        <v>0</v>
      </c>
      <c r="C11" s="26" t="b">
        <v>1</v>
      </c>
      <c r="D11" s="26" t="b">
        <v>1</v>
      </c>
      <c r="E11" s="26" t="b">
        <v>1</v>
      </c>
      <c r="F11" s="26" t="b">
        <v>1</v>
      </c>
      <c r="G11" s="26" t="b">
        <v>1</v>
      </c>
      <c r="H11" s="32" t="b">
        <v>1</v>
      </c>
      <c r="I11" s="30"/>
      <c r="J11" s="81" t="str">
        <f t="shared" si="5"/>
        <v>Water (~2.25L+)</v>
      </c>
      <c r="K11" s="26" t="b">
        <v>1</v>
      </c>
      <c r="L11" s="26" t="b">
        <v>1</v>
      </c>
      <c r="M11" s="26" t="b">
        <v>1</v>
      </c>
      <c r="N11" s="26" t="b">
        <v>0</v>
      </c>
      <c r="O11" s="26" t="b">
        <v>0</v>
      </c>
      <c r="P11" s="26" t="b">
        <v>0</v>
      </c>
      <c r="Q11" s="32" t="b">
        <v>0</v>
      </c>
      <c r="S11" s="82" t="s">
        <v>18</v>
      </c>
      <c r="T11" s="26" t="b">
        <v>1</v>
      </c>
      <c r="U11" s="32" t="b">
        <v>0</v>
      </c>
    </row>
    <row r="12">
      <c r="A12" s="79" t="s">
        <v>44</v>
      </c>
      <c r="B12" s="26" t="b">
        <v>1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1</v>
      </c>
      <c r="H12" s="32" t="b">
        <v>0</v>
      </c>
      <c r="I12" s="30"/>
      <c r="J12" s="81" t="str">
        <f t="shared" si="5"/>
        <v>Sleep (~7 hours+)</v>
      </c>
      <c r="K12" s="26" t="b">
        <v>0</v>
      </c>
      <c r="L12" s="26" t="b">
        <v>0</v>
      </c>
      <c r="M12" s="26" t="b">
        <v>1</v>
      </c>
      <c r="N12" s="26" t="b">
        <v>1</v>
      </c>
      <c r="O12" s="26" t="b">
        <v>1</v>
      </c>
      <c r="P12" s="26" t="b">
        <v>1</v>
      </c>
      <c r="Q12" s="32" t="b">
        <v>1</v>
      </c>
      <c r="S12" s="82" t="s">
        <v>20</v>
      </c>
      <c r="T12" s="26" t="b">
        <v>1</v>
      </c>
      <c r="U12" s="32" t="b">
        <v>1</v>
      </c>
    </row>
    <row r="13">
      <c r="A13" s="79" t="s">
        <v>21</v>
      </c>
      <c r="B13" s="26" t="b">
        <v>1</v>
      </c>
      <c r="C13" s="26" t="b">
        <v>1</v>
      </c>
      <c r="D13" s="26" t="b">
        <v>1</v>
      </c>
      <c r="E13" s="26" t="b">
        <v>1</v>
      </c>
      <c r="F13" s="26" t="b">
        <v>0</v>
      </c>
      <c r="G13" s="26" t="b">
        <v>0</v>
      </c>
      <c r="H13" s="32" t="b">
        <v>1</v>
      </c>
      <c r="I13" s="30"/>
      <c r="J13" s="81" t="str">
        <f t="shared" si="5"/>
        <v>Clean (~20 min)</v>
      </c>
      <c r="K13" s="26" t="b">
        <v>1</v>
      </c>
      <c r="L13" s="26" t="b">
        <v>0</v>
      </c>
      <c r="M13" s="26" t="b">
        <v>1</v>
      </c>
      <c r="N13" s="26" t="b">
        <v>0</v>
      </c>
      <c r="O13" s="26" t="b">
        <v>0</v>
      </c>
      <c r="P13" s="26" t="b">
        <v>0</v>
      </c>
      <c r="Q13" s="32" t="b">
        <v>0</v>
      </c>
      <c r="S13" s="82" t="s">
        <v>22</v>
      </c>
      <c r="T13" s="26" t="b">
        <v>1</v>
      </c>
      <c r="U13" s="32" t="b">
        <v>0</v>
      </c>
    </row>
    <row r="14">
      <c r="A14" s="79" t="s">
        <v>23</v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1</v>
      </c>
      <c r="G14" s="26" t="b">
        <v>0</v>
      </c>
      <c r="H14" s="32" t="b">
        <v>0</v>
      </c>
      <c r="I14" s="30"/>
      <c r="J14" s="81" t="str">
        <f t="shared" si="5"/>
        <v>Read (~20 min)</v>
      </c>
      <c r="K14" s="26" t="b">
        <v>0</v>
      </c>
      <c r="L14" s="26" t="b">
        <v>0</v>
      </c>
      <c r="M14" s="26" t="b">
        <v>0</v>
      </c>
      <c r="N14" s="26" t="b">
        <v>0</v>
      </c>
      <c r="O14" s="26" t="b">
        <v>0</v>
      </c>
      <c r="P14" s="26" t="b">
        <v>0</v>
      </c>
      <c r="Q14" s="32" t="b">
        <v>0</v>
      </c>
      <c r="S14" s="85" t="s">
        <v>24</v>
      </c>
      <c r="T14" s="38" t="b">
        <v>0</v>
      </c>
      <c r="U14" s="39" t="b">
        <v>0</v>
      </c>
      <c r="W14" s="40" t="s">
        <v>25</v>
      </c>
      <c r="X14" s="41"/>
    </row>
    <row r="15">
      <c r="A15" s="86" t="s">
        <v>26</v>
      </c>
      <c r="B15" s="38" t="b">
        <v>1</v>
      </c>
      <c r="C15" s="38" t="b">
        <v>1</v>
      </c>
      <c r="D15" s="38" t="b">
        <v>1</v>
      </c>
      <c r="E15" s="38" t="b">
        <v>1</v>
      </c>
      <c r="F15" s="38" t="b">
        <v>1</v>
      </c>
      <c r="G15" s="38" t="b">
        <v>1</v>
      </c>
      <c r="H15" s="39" t="b">
        <v>1</v>
      </c>
      <c r="I15" s="30"/>
      <c r="J15" s="86" t="str">
        <f t="shared" si="5"/>
        <v>Vitamins</v>
      </c>
      <c r="K15" s="38" t="b">
        <v>1</v>
      </c>
      <c r="L15" s="38" t="b">
        <v>1</v>
      </c>
      <c r="M15" s="38" t="b">
        <v>1</v>
      </c>
      <c r="N15" s="38" t="b">
        <v>0</v>
      </c>
      <c r="O15" s="38" t="b">
        <v>0</v>
      </c>
      <c r="P15" s="38" t="b">
        <v>0</v>
      </c>
      <c r="Q15" s="39" t="b">
        <v>0</v>
      </c>
      <c r="S15" s="88" t="s">
        <v>27</v>
      </c>
      <c r="T15" s="44">
        <f t="shared" ref="T15:U15" si="6">COUNTIF(T5:T14,True)/COUNTA(T5:T14)</f>
        <v>0.8</v>
      </c>
      <c r="U15" s="45">
        <f t="shared" si="6"/>
        <v>0.3</v>
      </c>
      <c r="W15" s="82" t="s">
        <v>28</v>
      </c>
      <c r="X15" s="32" t="b">
        <v>1</v>
      </c>
    </row>
    <row r="16">
      <c r="A16" s="88" t="s">
        <v>27</v>
      </c>
      <c r="B16" s="44">
        <f t="shared" ref="B16:H16" si="7">COUNTIF(B5:B15,True)/COUNTA(B5:B15)</f>
        <v>0.7272727273</v>
      </c>
      <c r="C16" s="44">
        <f t="shared" si="7"/>
        <v>0.8181818182</v>
      </c>
      <c r="D16" s="44">
        <f t="shared" si="7"/>
        <v>0.7272727273</v>
      </c>
      <c r="E16" s="44">
        <f t="shared" si="7"/>
        <v>0.8181818182</v>
      </c>
      <c r="F16" s="44">
        <f t="shared" si="7"/>
        <v>0.6363636364</v>
      </c>
      <c r="G16" s="44">
        <f t="shared" si="7"/>
        <v>0.5454545455</v>
      </c>
      <c r="H16" s="45">
        <f t="shared" si="7"/>
        <v>0.7272727273</v>
      </c>
      <c r="I16" s="21"/>
      <c r="J16" s="89" t="s">
        <v>27</v>
      </c>
      <c r="K16" s="44">
        <f t="shared" ref="K16:Q16" si="8">COUNTIF(K5:K15,True)/COUNTA(K5:K15)</f>
        <v>0.7272727273</v>
      </c>
      <c r="L16" s="44">
        <f t="shared" si="8"/>
        <v>0.6363636364</v>
      </c>
      <c r="M16" s="44">
        <f t="shared" si="8"/>
        <v>0.7272727273</v>
      </c>
      <c r="N16" s="44">
        <f t="shared" si="8"/>
        <v>0.2727272727</v>
      </c>
      <c r="O16" s="47">
        <f t="shared" si="8"/>
        <v>0.2727272727</v>
      </c>
      <c r="P16" s="44">
        <f t="shared" si="8"/>
        <v>0.2727272727</v>
      </c>
      <c r="Q16" s="45">
        <f t="shared" si="8"/>
        <v>0.1818181818</v>
      </c>
      <c r="S16" s="90" t="s">
        <v>29</v>
      </c>
      <c r="T16" s="49" t="str">
        <f>IFERROR(__xludf.DUMMYFUNCTION("SPARKLINE(T15,{""charttype"",""bar"";""max"",1;""min"",0;""color1"",IF(T15&gt;0.7,""green"",IF(T15&gt;0.5,""yellow"",""red""))})"),"")</f>
        <v/>
      </c>
      <c r="U16" s="50" t="str">
        <f>IFERROR(__xludf.DUMMYFUNCTION("SPARKLINE(U15,{""charttype"",""bar"";""max"",1;""min"",0;""color1"",IF(U15&gt;0.7,""green"",IF(U15&gt;0.5,""yellow"",""red""))})"),"")</f>
        <v/>
      </c>
      <c r="W16" s="82" t="s">
        <v>30</v>
      </c>
      <c r="X16" s="32" t="b">
        <v>1</v>
      </c>
    </row>
    <row r="17">
      <c r="A17" s="91" t="s">
        <v>29</v>
      </c>
      <c r="B17" s="49" t="str">
        <f>IFERROR(__xludf.DUMMYFUNCTION("SPARKLINE(B16,{""charttype"",""bar"";""max"",1;""min"",0;""color1"",IF(B16&gt;0.7,""green"",IF(B16&gt;0.5,""yellow"",""red""))})"),"")</f>
        <v/>
      </c>
      <c r="C17" s="49" t="str">
        <f>IFERROR(__xludf.DUMMYFUNCTION("SPARKLINE(C16,{""charttype"",""bar"";""max"",1;""min"",0;""color1"",IF(C16&gt;0.7,""green"",IF(C16&gt;0.5,""yellow"",""red""))})"),"")</f>
        <v/>
      </c>
      <c r="D17" s="49" t="str">
        <f>IFERROR(__xludf.DUMMYFUNCTION("SPARKLINE(D16,{""charttype"",""bar"";""max"",1;""min"",0;""color1"",IF(D16&gt;0.7,""green"",IF(D16&gt;0.5,""yellow"",""red""))})"),"")</f>
        <v/>
      </c>
      <c r="E17" s="49" t="str">
        <f>IFERROR(__xludf.DUMMYFUNCTION("SPARKLINE(E16,{""charttype"",""bar"";""max"",1;""min"",0;""color1"",IF(E16&gt;0.7,""green"",IF(E16&gt;0.5,""yellow"",""red""))})"),"")</f>
        <v/>
      </c>
      <c r="F17" s="49" t="str">
        <f>IFERROR(__xludf.DUMMYFUNCTION("SPARKLINE(F16,{""charttype"",""bar"";""max"",1;""min"",0;""color1"",IF(F16&gt;0.7,""green"",IF(F16&gt;0.5,""yellow"",""red""))})"),"")</f>
        <v/>
      </c>
      <c r="G17" s="49" t="str">
        <f>IFERROR(__xludf.DUMMYFUNCTION("SPARKLINE(G16,{""charttype"",""bar"";""max"",1;""min"",0;""color1"",IF(G16&gt;0.7,""green"",IF(G16&gt;0.5,""yellow"",""red""))})"),"")</f>
        <v/>
      </c>
      <c r="H17" s="50" t="str">
        <f>IFERROR(__xludf.DUMMYFUNCTION("SPARKLINE(H16,{""charttype"",""bar"";""max"",1;""min"",0;""color1"",IF(H16&gt;0.7,""green"",IF(H16&gt;0.5,""yellow"",""red""))})"),"")</f>
        <v/>
      </c>
      <c r="I17" s="52"/>
      <c r="J17" s="90" t="s">
        <v>29</v>
      </c>
      <c r="K17" s="49" t="str">
        <f>IFERROR(__xludf.DUMMYFUNCTION("SPARKLINE(K16,{""charttype"",""bar"";""max"",1;""min"",0;""color1"",IF(K16&gt;0.7,""green"",IF(K16&gt;0.5,""yellow"",""red""))})"),"")</f>
        <v/>
      </c>
      <c r="L17" s="49" t="str">
        <f>IFERROR(__xludf.DUMMYFUNCTION("SPARKLINE(L16,{""charttype"",""bar"";""max"",1;""min"",0;""color1"",IF(L16&gt;0.7,""green"",IF(L16&gt;0.5,""yellow"",""red""))})"),"")</f>
        <v/>
      </c>
      <c r="M17" s="49" t="str">
        <f>IFERROR(__xludf.DUMMYFUNCTION("SPARKLINE(M16,{""charttype"",""bar"";""max"",1;""min"",0;""color1"",IF(M16&gt;0.7,""green"",IF(M16&gt;0.5,""yellow"",""red""))})"),"")</f>
        <v/>
      </c>
      <c r="N17" s="49" t="str">
        <f>IFERROR(__xludf.DUMMYFUNCTION("SPARKLINE(N16,{""charttype"",""bar"";""max"",1;""min"",0;""color1"",IF(N16&gt;0.7,""green"",IF(N16&gt;0.5,""yellow"",""red""))})"),"")</f>
        <v/>
      </c>
      <c r="O17" s="49" t="str">
        <f>IFERROR(__xludf.DUMMYFUNCTION("SPARKLINE(O16,{""charttype"",""bar"";""max"",1;""min"",0;""color1"",IF(O16&gt;0.7,""green"",IF(O16&gt;0.5,""yellow"",""red""))})"),"")</f>
        <v/>
      </c>
      <c r="P17" s="49" t="str">
        <f>IFERROR(__xludf.DUMMYFUNCTION("SPARKLINE(P16,{""charttype"",""bar"";""max"",1;""min"",0;""color1"",IF(P16&gt;0.7,""green"",IF(P16&gt;0.5,""yellow"",""red""))})"),"")</f>
        <v/>
      </c>
      <c r="Q17" s="50" t="str">
        <f>IFERROR(__xludf.DUMMYFUNCTION("SPARKLINE(Q16,{""charttype"",""bar"";""max"",1;""min"",0;""color1"",IF(Q16&gt;0.7,""green"",IF(Q16&gt;0.5,""yellow"",""red""))})"),"")</f>
        <v/>
      </c>
      <c r="W17" s="82" t="s">
        <v>32</v>
      </c>
      <c r="X17" s="32" t="b">
        <v>1</v>
      </c>
    </row>
    <row r="18">
      <c r="A18" s="90" t="s">
        <v>42</v>
      </c>
      <c r="B18" s="53" t="str">
        <f>IFERROR(__xludf.DUMMYFUNCTION("SPARKLINE((SUM(B16:H16)+3*T15)/10,{""charttype"",""bar"";""max"",1;""min"",0;""color1"",IF((SUM(B16:H16)+3*T15)/10&gt;0.7,""green"",IF((SUM(B16:H16)+3*T15)/10&gt;0.5,""yellow"",""red""))})"),"")</f>
        <v/>
      </c>
      <c r="C18" s="54"/>
      <c r="D18" s="54"/>
      <c r="E18" s="54"/>
      <c r="F18" s="54"/>
      <c r="G18" s="54"/>
      <c r="H18" s="41"/>
      <c r="I18" s="55"/>
      <c r="J18" s="90" t="s">
        <v>42</v>
      </c>
      <c r="K18" s="53" t="str">
        <f>IFERROR(__xludf.DUMMYFUNCTION("SPARKLINE((SUM(K16:Q16)+3*U15)/10,{""charttype"",""bar"";""max"",1;""min"",0;""color1"",IF((SUM(K16:Q16)+3*U15)/10&gt;0.7,""green"",IF((SUM(K16:Q16)+3*U15)/10&gt;0.5,""yellow"",""red""))})"),"")</f>
        <v/>
      </c>
      <c r="L18" s="54"/>
      <c r="M18" s="54"/>
      <c r="N18" s="54"/>
      <c r="O18" s="54"/>
      <c r="P18" s="54"/>
      <c r="Q18" s="41"/>
      <c r="W18" s="85" t="s">
        <v>34</v>
      </c>
      <c r="X18" s="32" t="b">
        <v>1</v>
      </c>
    </row>
    <row r="19">
      <c r="A19" s="57"/>
      <c r="B19" s="58"/>
      <c r="C19" s="58"/>
      <c r="D19" s="58"/>
      <c r="E19" s="58"/>
      <c r="F19" s="58"/>
      <c r="G19" s="58"/>
      <c r="H19" s="53"/>
      <c r="I19" s="55"/>
      <c r="J19" s="59"/>
      <c r="K19" s="58"/>
      <c r="L19" s="58"/>
      <c r="M19" s="58"/>
      <c r="N19" s="58"/>
      <c r="O19" s="58"/>
      <c r="P19" s="58"/>
      <c r="Q19" s="58"/>
      <c r="R19" s="56"/>
      <c r="S19" s="56"/>
      <c r="T19" s="56"/>
      <c r="U19" s="56"/>
      <c r="V19" s="56"/>
      <c r="W19" s="91" t="s">
        <v>27</v>
      </c>
      <c r="X19" s="92">
        <f>COUNTIF(X15:X18,True)/COUNTA(X15:X18)</f>
        <v>1</v>
      </c>
      <c r="Y19" s="56"/>
      <c r="Z19" s="56"/>
    </row>
    <row r="20">
      <c r="A20" s="107" t="s">
        <v>35</v>
      </c>
      <c r="B20" s="97">
        <f>Q3+1</f>
        <v>44942</v>
      </c>
      <c r="C20" s="108">
        <f t="shared" ref="C20:H20" si="9">B20+1</f>
        <v>44943</v>
      </c>
      <c r="D20" s="108">
        <f t="shared" si="9"/>
        <v>44944</v>
      </c>
      <c r="E20" s="108">
        <f t="shared" si="9"/>
        <v>44945</v>
      </c>
      <c r="F20" s="108">
        <f t="shared" si="9"/>
        <v>44946</v>
      </c>
      <c r="G20" s="108">
        <f t="shared" si="9"/>
        <v>44947</v>
      </c>
      <c r="H20" s="109">
        <f t="shared" si="9"/>
        <v>44948</v>
      </c>
      <c r="I20" s="52"/>
      <c r="J20" s="110" t="s">
        <v>36</v>
      </c>
      <c r="K20" s="108">
        <f>H20+1</f>
        <v>44949</v>
      </c>
      <c r="L20" s="108">
        <f t="shared" ref="L20:Q20" si="10">K20+1</f>
        <v>44950</v>
      </c>
      <c r="M20" s="108">
        <f t="shared" si="10"/>
        <v>44951</v>
      </c>
      <c r="N20" s="108">
        <f t="shared" si="10"/>
        <v>44952</v>
      </c>
      <c r="O20" s="108">
        <f t="shared" si="10"/>
        <v>44953</v>
      </c>
      <c r="P20" s="108">
        <f t="shared" si="10"/>
        <v>44954</v>
      </c>
      <c r="Q20" s="111">
        <f t="shared" si="10"/>
        <v>44955</v>
      </c>
      <c r="W20" s="90" t="s">
        <v>29</v>
      </c>
      <c r="X20" s="50" t="str">
        <f>IFERROR(__xludf.DUMMYFUNCTION("SPARKLINE(X19,{""charttype"",""bar"";""max"",1;""min"",0;""color1"",IF(X19&gt;0.7,""green"",IF(X19&gt;0.5,""yellow"",""red""))})"),"")</f>
        <v/>
      </c>
    </row>
    <row r="21">
      <c r="A21" s="100" t="s">
        <v>3</v>
      </c>
      <c r="B21" s="101" t="str">
        <f t="shared" ref="B21:H21" si="11">CHOOSE(WEEKDAY(B20,2),"Mon","Tue","Wed","Thu","Fri","Sat","Sun")</f>
        <v>Mon</v>
      </c>
      <c r="C21" s="101" t="str">
        <f t="shared" si="11"/>
        <v>Tue</v>
      </c>
      <c r="D21" s="101" t="str">
        <f t="shared" si="11"/>
        <v>Wed</v>
      </c>
      <c r="E21" s="101" t="str">
        <f t="shared" si="11"/>
        <v>Thu</v>
      </c>
      <c r="F21" s="101" t="str">
        <f t="shared" si="11"/>
        <v>Fri</v>
      </c>
      <c r="G21" s="101" t="str">
        <f t="shared" si="11"/>
        <v>Sat</v>
      </c>
      <c r="H21" s="102" t="str">
        <f t="shared" si="11"/>
        <v>Sun</v>
      </c>
      <c r="I21" s="103"/>
      <c r="J21" s="112" t="s">
        <v>3</v>
      </c>
      <c r="K21" s="101" t="str">
        <f t="shared" ref="K21:Q21" si="12">CHOOSE(WEEKDAY(K20,2),"Mon","Tue","Wed","Thu","Fri","Sat","Sun")</f>
        <v>Mon</v>
      </c>
      <c r="L21" s="101" t="str">
        <f t="shared" si="12"/>
        <v>Tue</v>
      </c>
      <c r="M21" s="101" t="str">
        <f t="shared" si="12"/>
        <v>Wed</v>
      </c>
      <c r="N21" s="101" t="str">
        <f t="shared" si="12"/>
        <v>Thu</v>
      </c>
      <c r="O21" s="101" t="str">
        <f t="shared" si="12"/>
        <v>Fri</v>
      </c>
      <c r="P21" s="101" t="str">
        <f t="shared" si="12"/>
        <v>Sat</v>
      </c>
      <c r="Q21" s="102" t="str">
        <f t="shared" si="12"/>
        <v>Sun</v>
      </c>
      <c r="S21" s="105" t="s">
        <v>4</v>
      </c>
      <c r="T21" s="23" t="s">
        <v>35</v>
      </c>
      <c r="U21" s="24" t="s">
        <v>36</v>
      </c>
    </row>
    <row r="22">
      <c r="A22" s="82" t="str">
        <f t="shared" ref="A22:A32" si="13">A5</f>
        <v>Exercise</v>
      </c>
      <c r="B22" s="26" t="b">
        <v>0</v>
      </c>
      <c r="C22" s="26" t="b">
        <v>1</v>
      </c>
      <c r="D22" s="27" t="b">
        <v>0</v>
      </c>
      <c r="E22" s="65" t="b">
        <v>0</v>
      </c>
      <c r="F22" s="27" t="b">
        <v>0</v>
      </c>
      <c r="G22" s="27" t="b">
        <v>0</v>
      </c>
      <c r="H22" s="29" t="b">
        <v>0</v>
      </c>
      <c r="I22" s="30"/>
      <c r="J22" s="81" t="str">
        <f t="shared" ref="J22:J32" si="14">A5</f>
        <v>Exercise</v>
      </c>
      <c r="K22" s="26" t="b">
        <v>0</v>
      </c>
      <c r="L22" s="26" t="b">
        <v>0</v>
      </c>
      <c r="M22" s="26" t="b">
        <v>0</v>
      </c>
      <c r="N22" s="26" t="b">
        <v>1</v>
      </c>
      <c r="O22" s="26" t="b">
        <v>1</v>
      </c>
      <c r="P22" s="26" t="b">
        <v>0</v>
      </c>
      <c r="Q22" s="32" t="b">
        <v>1</v>
      </c>
      <c r="S22" s="82" t="s">
        <v>6</v>
      </c>
      <c r="T22" s="26" t="b">
        <v>1</v>
      </c>
      <c r="U22" s="32" t="b">
        <v>1</v>
      </c>
    </row>
    <row r="23">
      <c r="A23" s="82" t="str">
        <f t="shared" si="13"/>
        <v>Stretch/Yoga (&gt;20min)</v>
      </c>
      <c r="B23" s="26" t="b">
        <v>0</v>
      </c>
      <c r="C23" s="26" t="b">
        <v>1</v>
      </c>
      <c r="D23" s="27" t="b">
        <v>0</v>
      </c>
      <c r="E23" s="26" t="b">
        <v>1</v>
      </c>
      <c r="F23" s="26" t="b">
        <v>0</v>
      </c>
      <c r="G23" s="27" t="b">
        <v>0</v>
      </c>
      <c r="H23" s="32" t="b">
        <v>0</v>
      </c>
      <c r="I23" s="30"/>
      <c r="J23" s="81" t="str">
        <f t="shared" si="14"/>
        <v>Stretch/Yoga (&gt;20min)</v>
      </c>
      <c r="K23" s="26" t="b">
        <v>0</v>
      </c>
      <c r="L23" s="26" t="b">
        <v>1</v>
      </c>
      <c r="M23" s="26" t="b">
        <v>0</v>
      </c>
      <c r="N23" s="26" t="b">
        <v>1</v>
      </c>
      <c r="O23" s="26" t="b">
        <v>1</v>
      </c>
      <c r="P23" s="26" t="b">
        <v>0</v>
      </c>
      <c r="Q23" s="32" t="b">
        <v>1</v>
      </c>
      <c r="S23" s="82" t="s">
        <v>8</v>
      </c>
      <c r="T23" s="26" t="b">
        <v>1</v>
      </c>
      <c r="U23" s="32" t="b">
        <v>1</v>
      </c>
    </row>
    <row r="24">
      <c r="A24" s="82" t="str">
        <f t="shared" si="13"/>
        <v>Social Media (&lt;limit)</v>
      </c>
      <c r="B24" s="26" t="b">
        <v>0</v>
      </c>
      <c r="C24" s="26" t="b">
        <v>0</v>
      </c>
      <c r="D24" s="26" t="b">
        <v>1</v>
      </c>
      <c r="E24" s="28" t="b">
        <v>1</v>
      </c>
      <c r="F24" s="26" t="b">
        <v>1</v>
      </c>
      <c r="G24" s="26" t="b">
        <v>1</v>
      </c>
      <c r="H24" s="32" t="b">
        <v>1</v>
      </c>
      <c r="I24" s="30"/>
      <c r="J24" s="81" t="str">
        <f t="shared" si="14"/>
        <v>Social Media (&lt;limit)</v>
      </c>
      <c r="K24" s="26" t="b">
        <v>1</v>
      </c>
      <c r="L24" s="26" t="b">
        <v>1</v>
      </c>
      <c r="M24" s="26" t="b">
        <v>1</v>
      </c>
      <c r="N24" s="26" t="b">
        <v>1</v>
      </c>
      <c r="O24" s="26" t="b">
        <v>1</v>
      </c>
      <c r="P24" s="26" t="b">
        <v>1</v>
      </c>
      <c r="Q24" s="32" t="b">
        <v>1</v>
      </c>
      <c r="S24" s="82" t="s">
        <v>10</v>
      </c>
      <c r="T24" s="26" t="b">
        <v>1</v>
      </c>
      <c r="U24" s="32" t="b">
        <v>1</v>
      </c>
    </row>
    <row r="25">
      <c r="A25" s="82" t="str">
        <f t="shared" si="13"/>
        <v>Eat in</v>
      </c>
      <c r="B25" s="26" t="b">
        <v>0</v>
      </c>
      <c r="C25" s="26" t="b">
        <v>0</v>
      </c>
      <c r="D25" s="26" t="b">
        <v>0</v>
      </c>
      <c r="E25" s="26" t="b">
        <v>1</v>
      </c>
      <c r="F25" s="26" t="b">
        <v>1</v>
      </c>
      <c r="G25" s="26" t="b">
        <v>1</v>
      </c>
      <c r="H25" s="32" t="b">
        <v>1</v>
      </c>
      <c r="I25" s="30"/>
      <c r="J25" s="81" t="str">
        <f t="shared" si="14"/>
        <v>Eat in</v>
      </c>
      <c r="K25" s="26" t="b">
        <v>1</v>
      </c>
      <c r="L25" s="26" t="b">
        <v>1</v>
      </c>
      <c r="M25" s="26" t="b">
        <v>1</v>
      </c>
      <c r="N25" s="26" t="b">
        <v>1</v>
      </c>
      <c r="O25" s="26" t="b">
        <v>1</v>
      </c>
      <c r="P25" s="26" t="b">
        <v>1</v>
      </c>
      <c r="Q25" s="32" t="b">
        <v>1</v>
      </c>
      <c r="S25" s="82" t="s">
        <v>12</v>
      </c>
      <c r="T25" s="26" t="b">
        <v>1</v>
      </c>
      <c r="U25" s="32" t="b">
        <v>1</v>
      </c>
    </row>
    <row r="26">
      <c r="A26" s="83" t="str">
        <f t="shared" si="13"/>
        <v>Review Budget/Goals</v>
      </c>
      <c r="B26" s="26" t="b">
        <v>1</v>
      </c>
      <c r="C26" s="26" t="b">
        <v>1</v>
      </c>
      <c r="D26" s="26" t="b">
        <v>1</v>
      </c>
      <c r="E26" s="26" t="b">
        <v>1</v>
      </c>
      <c r="F26" s="26" t="b">
        <v>1</v>
      </c>
      <c r="G26" s="26" t="b">
        <v>1</v>
      </c>
      <c r="H26" s="32" t="b">
        <v>1</v>
      </c>
      <c r="I26" s="30"/>
      <c r="J26" s="95" t="str">
        <f t="shared" si="14"/>
        <v>Review Budget/Goals</v>
      </c>
      <c r="K26" s="26" t="b">
        <v>1</v>
      </c>
      <c r="L26" s="26" t="b">
        <v>1</v>
      </c>
      <c r="M26" s="26" t="b">
        <v>1</v>
      </c>
      <c r="N26" s="26" t="b">
        <v>1</v>
      </c>
      <c r="O26" s="26" t="b">
        <v>1</v>
      </c>
      <c r="P26" s="26" t="b">
        <v>1</v>
      </c>
      <c r="Q26" s="32" t="b">
        <v>1</v>
      </c>
      <c r="S26" s="82" t="s">
        <v>14</v>
      </c>
      <c r="T26" s="26" t="b">
        <v>0</v>
      </c>
      <c r="U26" s="32" t="b">
        <v>0</v>
      </c>
    </row>
    <row r="27">
      <c r="A27" s="84" t="str">
        <f t="shared" si="13"/>
        <v>(2x)Brush+(1x)Floss</v>
      </c>
      <c r="B27" s="26" t="b">
        <v>0</v>
      </c>
      <c r="C27" s="26" t="b">
        <v>1</v>
      </c>
      <c r="D27" s="26" t="b">
        <v>1</v>
      </c>
      <c r="E27" s="26" t="b">
        <v>1</v>
      </c>
      <c r="F27" s="27" t="b">
        <v>0</v>
      </c>
      <c r="G27" s="26" t="b">
        <v>0</v>
      </c>
      <c r="H27" s="32" t="b">
        <v>1</v>
      </c>
      <c r="I27" s="30"/>
      <c r="J27" s="81" t="str">
        <f t="shared" si="14"/>
        <v>(2x)Brush+(1x)Floss</v>
      </c>
      <c r="K27" s="26" t="b">
        <v>1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0</v>
      </c>
      <c r="Q27" s="32" t="b">
        <v>1</v>
      </c>
      <c r="S27" s="82" t="s">
        <v>16</v>
      </c>
      <c r="T27" s="26" t="b">
        <v>1</v>
      </c>
      <c r="U27" s="32" t="b">
        <v>1</v>
      </c>
    </row>
    <row r="28">
      <c r="A28" s="82" t="str">
        <f t="shared" si="13"/>
        <v>Water (~2.25L+)</v>
      </c>
      <c r="B28" s="26" t="b">
        <v>0</v>
      </c>
      <c r="C28" s="26" t="b">
        <v>1</v>
      </c>
      <c r="D28" s="26" t="b">
        <v>0</v>
      </c>
      <c r="E28" s="27" t="b">
        <v>0</v>
      </c>
      <c r="F28" s="27" t="b">
        <v>0</v>
      </c>
      <c r="G28" s="26" t="b">
        <v>1</v>
      </c>
      <c r="H28" s="32" t="b">
        <v>1</v>
      </c>
      <c r="I28" s="30"/>
      <c r="J28" s="81" t="str">
        <f t="shared" si="14"/>
        <v>Water (~2.25L+)</v>
      </c>
      <c r="K28" s="26" t="b">
        <v>1</v>
      </c>
      <c r="L28" s="26" t="b">
        <v>0</v>
      </c>
      <c r="M28" s="26" t="b">
        <v>1</v>
      </c>
      <c r="N28" s="26" t="b">
        <v>1</v>
      </c>
      <c r="O28" s="26" t="b">
        <v>1</v>
      </c>
      <c r="P28" s="26" t="b">
        <v>1</v>
      </c>
      <c r="Q28" s="32" t="b">
        <v>1</v>
      </c>
      <c r="S28" s="82" t="s">
        <v>18</v>
      </c>
      <c r="T28" s="26" t="b">
        <v>1</v>
      </c>
      <c r="U28" s="32" t="b">
        <v>1</v>
      </c>
    </row>
    <row r="29">
      <c r="A29" s="82" t="str">
        <f t="shared" si="13"/>
        <v>Sleep (~7 hours+)</v>
      </c>
      <c r="B29" s="26" t="b">
        <v>1</v>
      </c>
      <c r="C29" s="26" t="b">
        <v>1</v>
      </c>
      <c r="D29" s="26" t="b">
        <v>1</v>
      </c>
      <c r="E29" s="26" t="b">
        <v>1</v>
      </c>
      <c r="F29" s="26" t="b">
        <v>1</v>
      </c>
      <c r="G29" s="26" t="b">
        <v>1</v>
      </c>
      <c r="H29" s="32" t="b">
        <v>1</v>
      </c>
      <c r="I29" s="30"/>
      <c r="J29" s="81" t="str">
        <f t="shared" si="14"/>
        <v>Sleep (~7 hours+)</v>
      </c>
      <c r="K29" s="26" t="b">
        <v>1</v>
      </c>
      <c r="L29" s="26" t="b">
        <v>1</v>
      </c>
      <c r="M29" s="26" t="b">
        <v>1</v>
      </c>
      <c r="N29" s="26" t="b">
        <v>1</v>
      </c>
      <c r="O29" s="26" t="b">
        <v>1</v>
      </c>
      <c r="P29" s="26" t="b">
        <v>1</v>
      </c>
      <c r="Q29" s="32" t="b">
        <v>1</v>
      </c>
      <c r="S29" s="82" t="s">
        <v>20</v>
      </c>
      <c r="T29" s="26" t="b">
        <v>1</v>
      </c>
      <c r="U29" s="32" t="b">
        <v>1</v>
      </c>
    </row>
    <row r="30">
      <c r="A30" s="82" t="str">
        <f t="shared" si="13"/>
        <v>Clean (~20 min)</v>
      </c>
      <c r="B30" s="26" t="b">
        <v>0</v>
      </c>
      <c r="C30" s="26" t="b">
        <v>1</v>
      </c>
      <c r="D30" s="26" t="b">
        <v>0</v>
      </c>
      <c r="E30" s="26" t="b">
        <v>1</v>
      </c>
      <c r="F30" s="26" t="b">
        <v>1</v>
      </c>
      <c r="G30" s="26" t="b">
        <v>1</v>
      </c>
      <c r="H30" s="32" t="b">
        <v>1</v>
      </c>
      <c r="I30" s="30"/>
      <c r="J30" s="81" t="str">
        <f t="shared" si="14"/>
        <v>Clean (~20 min)</v>
      </c>
      <c r="K30" s="26" t="b">
        <v>0</v>
      </c>
      <c r="L30" s="26" t="b">
        <v>0</v>
      </c>
      <c r="M30" s="26" t="b">
        <v>0</v>
      </c>
      <c r="N30" s="26" t="b">
        <v>1</v>
      </c>
      <c r="O30" s="26" t="b">
        <v>1</v>
      </c>
      <c r="P30" s="26" t="b">
        <v>1</v>
      </c>
      <c r="Q30" s="32" t="b">
        <v>1</v>
      </c>
      <c r="S30" s="82" t="s">
        <v>22</v>
      </c>
      <c r="T30" s="26" t="b">
        <v>1</v>
      </c>
      <c r="U30" s="32" t="b">
        <v>1</v>
      </c>
    </row>
    <row r="31">
      <c r="A31" s="82" t="str">
        <f t="shared" si="13"/>
        <v>Read (~20 min)</v>
      </c>
      <c r="B31" s="26" t="b">
        <v>0</v>
      </c>
      <c r="C31" s="26" t="b">
        <v>0</v>
      </c>
      <c r="D31" s="26" t="b">
        <v>1</v>
      </c>
      <c r="E31" s="26" t="b">
        <v>1</v>
      </c>
      <c r="F31" s="27" t="b">
        <v>0</v>
      </c>
      <c r="G31" s="26" t="b">
        <v>0</v>
      </c>
      <c r="H31" s="32" t="b">
        <v>1</v>
      </c>
      <c r="I31" s="30"/>
      <c r="J31" s="81" t="str">
        <f t="shared" si="14"/>
        <v>Read (~20 min)</v>
      </c>
      <c r="K31" s="26" t="b">
        <v>1</v>
      </c>
      <c r="L31" s="26" t="b">
        <v>1</v>
      </c>
      <c r="M31" s="26" t="b">
        <v>1</v>
      </c>
      <c r="N31" s="26" t="b">
        <v>1</v>
      </c>
      <c r="O31" s="26" t="b">
        <v>1</v>
      </c>
      <c r="P31" s="26" t="b">
        <v>1</v>
      </c>
      <c r="Q31" s="32" t="b">
        <v>1</v>
      </c>
      <c r="S31" s="85" t="s">
        <v>24</v>
      </c>
      <c r="T31" s="38" t="b">
        <v>0</v>
      </c>
      <c r="U31" s="39" t="b">
        <v>1</v>
      </c>
    </row>
    <row r="32">
      <c r="A32" s="86" t="str">
        <f t="shared" si="13"/>
        <v>Vitamins</v>
      </c>
      <c r="B32" s="38" t="b">
        <v>1</v>
      </c>
      <c r="C32" s="38" t="b">
        <v>1</v>
      </c>
      <c r="D32" s="67" t="b">
        <v>0</v>
      </c>
      <c r="E32" s="38" t="b">
        <v>1</v>
      </c>
      <c r="F32" s="38" t="b">
        <v>1</v>
      </c>
      <c r="G32" s="38" t="b">
        <v>1</v>
      </c>
      <c r="H32" s="39" t="b">
        <v>1</v>
      </c>
      <c r="I32" s="30"/>
      <c r="J32" s="86" t="str">
        <f t="shared" si="14"/>
        <v>Vitamins</v>
      </c>
      <c r="K32" s="38" t="b">
        <v>1</v>
      </c>
      <c r="L32" s="38" t="b">
        <v>1</v>
      </c>
      <c r="M32" s="38" t="b">
        <v>1</v>
      </c>
      <c r="N32" s="38" t="b">
        <v>1</v>
      </c>
      <c r="O32" s="38" t="b">
        <v>1</v>
      </c>
      <c r="P32" s="38" t="b">
        <v>1</v>
      </c>
      <c r="Q32" s="39" t="b">
        <v>1</v>
      </c>
      <c r="S32" s="88" t="s">
        <v>27</v>
      </c>
      <c r="T32" s="68">
        <f t="shared" ref="T32:U32" si="15">COUNTIF(T22:T31,True)/COUNTA(T22:T31)</f>
        <v>0.8</v>
      </c>
      <c r="U32" s="69">
        <f t="shared" si="15"/>
        <v>0.9</v>
      </c>
    </row>
    <row r="33">
      <c r="A33" s="88" t="s">
        <v>27</v>
      </c>
      <c r="B33" s="44">
        <f t="shared" ref="B33:H33" si="16">COUNTIF(B22:B32,True)/COUNTA(B22:B32)</f>
        <v>0.2727272727</v>
      </c>
      <c r="C33" s="44">
        <f t="shared" si="16"/>
        <v>0.7272727273</v>
      </c>
      <c r="D33" s="44">
        <f t="shared" si="16"/>
        <v>0.4545454545</v>
      </c>
      <c r="E33" s="44">
        <f t="shared" si="16"/>
        <v>0.8181818182</v>
      </c>
      <c r="F33" s="44">
        <f t="shared" si="16"/>
        <v>0.5454545455</v>
      </c>
      <c r="G33" s="44">
        <f t="shared" si="16"/>
        <v>0.6363636364</v>
      </c>
      <c r="H33" s="45">
        <f t="shared" si="16"/>
        <v>0.8181818182</v>
      </c>
      <c r="I33" s="21"/>
      <c r="J33" s="89" t="s">
        <v>27</v>
      </c>
      <c r="K33" s="44">
        <f t="shared" ref="K33:Q33" si="17">COUNTIF(K22:K32,True)/COUNTA(K22:K32)</f>
        <v>0.7272727273</v>
      </c>
      <c r="L33" s="44">
        <f t="shared" si="17"/>
        <v>0.7272727273</v>
      </c>
      <c r="M33" s="44">
        <f t="shared" si="17"/>
        <v>0.7272727273</v>
      </c>
      <c r="N33" s="44">
        <f t="shared" si="17"/>
        <v>1</v>
      </c>
      <c r="O33" s="44">
        <f t="shared" si="17"/>
        <v>1</v>
      </c>
      <c r="P33" s="44">
        <f t="shared" si="17"/>
        <v>0.7272727273</v>
      </c>
      <c r="Q33" s="45">
        <f t="shared" si="17"/>
        <v>1</v>
      </c>
      <c r="S33" s="90" t="s">
        <v>29</v>
      </c>
      <c r="T33" s="49" t="str">
        <f>IFERROR(__xludf.DUMMYFUNCTION("SPARKLINE(T32,{""charttype"",""bar"";""max"",1;""min"",0;""color1"",IF(T32&gt;0.7,""green"",IF(T32&gt;0.5,""yellow"",""red""))})"),"")</f>
        <v/>
      </c>
      <c r="U33" s="50" t="str">
        <f>IFERROR(__xludf.DUMMYFUNCTION("SPARKLINE(U32,{""charttype"",""bar"";""max"",1;""min"",0;""color1"",IF(U32&gt;0.7,""green"",IF(U32&gt;0.5,""yellow"",""red""))})"),"")</f>
        <v/>
      </c>
    </row>
    <row r="34">
      <c r="A34" s="90" t="s">
        <v>29</v>
      </c>
      <c r="B34" s="49" t="str">
        <f>IFERROR(__xludf.DUMMYFUNCTION("SPARKLINE(B33,{""charttype"",""bar"";""max"",1;""min"",0;""color1"",IF(B33&gt;0.7,""green"",IF(B33&gt;0.5,""yellow"",""red""))})"),"")</f>
        <v/>
      </c>
      <c r="C34" s="49" t="str">
        <f>IFERROR(__xludf.DUMMYFUNCTION("SPARKLINE(C33,{""charttype"",""bar"";""max"",1;""min"",0;""color1"",IF(C33&gt;0.7,""green"",IF(C33&gt;0.5,""yellow"",""red""))})"),"")</f>
        <v/>
      </c>
      <c r="D34" s="49" t="str">
        <f>IFERROR(__xludf.DUMMYFUNCTION("SPARKLINE(D33,{""charttype"",""bar"";""max"",1;""min"",0;""color1"",IF(D33&gt;0.7,""green"",IF(D33&gt;0.5,""yellow"",""red""))})"),"")</f>
        <v/>
      </c>
      <c r="E34" s="49" t="str">
        <f>IFERROR(__xludf.DUMMYFUNCTION("SPARKLINE(E33,{""charttype"",""bar"";""max"",1;""min"",0;""color1"",IF(E33&gt;0.7,""green"",IF(E33&gt;0.5,""yellow"",""red""))})"),"")</f>
        <v/>
      </c>
      <c r="F34" s="49" t="str">
        <f>IFERROR(__xludf.DUMMYFUNCTION("SPARKLINE(F33,{""charttype"",""bar"";""max"",1;""min"",0;""color1"",IF(F33&gt;0.7,""green"",IF(F33&gt;0.5,""yellow"",""red""))})"),"")</f>
        <v/>
      </c>
      <c r="G34" s="49" t="str">
        <f>IFERROR(__xludf.DUMMYFUNCTION("SPARKLINE(G33,{""charttype"",""bar"";""max"",1;""min"",0;""color1"",IF(G33&gt;0.7,""green"",IF(G33&gt;0.5,""yellow"",""red""))})"),"")</f>
        <v/>
      </c>
      <c r="H34" s="50" t="str">
        <f>IFERROR(__xludf.DUMMYFUNCTION("SPARKLINE(H33,{""charttype"",""bar"";""max"",1;""min"",0;""color1"",IF(H33&gt;0.7,""green"",IF(H33&gt;0.5,""yellow"",""red""))})"),"")</f>
        <v/>
      </c>
      <c r="J34" s="90" t="s">
        <v>29</v>
      </c>
      <c r="K34" s="49" t="str">
        <f>IFERROR(__xludf.DUMMYFUNCTION("SPARKLINE(K33,{""charttype"",""bar"";""max"",1;""min"",0;""color1"",IF(K33&gt;0.7,""green"",IF(K33&gt;0.5,""yellow"",""red""))})"),"")</f>
        <v/>
      </c>
      <c r="L34" s="49" t="str">
        <f>IFERROR(__xludf.DUMMYFUNCTION("SPARKLINE(L33,{""charttype"",""bar"";""max"",1;""min"",0;""color1"",IF(L33&gt;0.7,""green"",IF(L33&gt;0.5,""yellow"",""red""))})"),"")</f>
        <v/>
      </c>
      <c r="M34" s="49" t="str">
        <f>IFERROR(__xludf.DUMMYFUNCTION("SPARKLINE(M33,{""charttype"",""bar"";""max"",1;""min"",0;""color1"",IF(M33&gt;0.7,""green"",IF(M33&gt;0.5,""yellow"",""red""))})"),"")</f>
        <v/>
      </c>
      <c r="N34" s="49" t="str">
        <f>IFERROR(__xludf.DUMMYFUNCTION("SPARKLINE(N33,{""charttype"",""bar"";""max"",1;""min"",0;""color1"",IF(N33&gt;0.7,""green"",IF(N33&gt;0.5,""yellow"",""red""))})"),"")</f>
        <v/>
      </c>
      <c r="O34" s="49" t="str">
        <f>IFERROR(__xludf.DUMMYFUNCTION("SPARKLINE(O33,{""charttype"",""bar"";""max"",1;""min"",0;""color1"",IF(O33&gt;0.7,""green"",IF(O33&gt;0.5,""yellow"",""red""))})"),"")</f>
        <v/>
      </c>
      <c r="P34" s="49" t="str">
        <f>IFERROR(__xludf.DUMMYFUNCTION("SPARKLINE(P33,{""charttype"",""bar"";""max"",1;""min"",0;""color1"",IF(P33&gt;0.7,""green"",IF(P33&gt;0.5,""yellow"",""red""))})"),"")</f>
        <v/>
      </c>
      <c r="Q34" s="50" t="str">
        <f>IFERROR(__xludf.DUMMYFUNCTION("SPARKLINE(Q33,{""charttype"",""bar"";""max"",1;""min"",0;""color1"",IF(Q33&gt;0.7,""green"",IF(Q33&gt;0.5,""yellow"",""red""))})"),"")</f>
        <v/>
      </c>
    </row>
    <row r="35">
      <c r="A35" s="90" t="s">
        <v>42</v>
      </c>
      <c r="B35" s="53" t="str">
        <f>IFERROR(__xludf.DUMMYFUNCTION("SPARKLINE((SUM(B33:H33)+3*T32)/10,{""charttype"",""bar"";""max"",1;""min"",0;""color1"",IF((SUM(B33:H33)+3*T32)/10&gt;0.7,""green"",IF((SUM(B33:H33)+3*T32)/10&gt;0.5,""yellow"",""red""))})"),"")</f>
        <v/>
      </c>
      <c r="C35" s="54"/>
      <c r="D35" s="54"/>
      <c r="E35" s="54"/>
      <c r="F35" s="54"/>
      <c r="G35" s="54"/>
      <c r="H35" s="41"/>
      <c r="J35" s="90" t="s">
        <v>42</v>
      </c>
      <c r="K35" s="53" t="str">
        <f>IFERROR(__xludf.DUMMYFUNCTION("SPARKLINE((SUM(K33:Q33)+3*U32)/10,{""charttype"",""bar"";""max"",1;""min"",0;""color1"",IF((SUM(K33:Q33)+3*U32)/10&gt;0.7,""green"",IF((SUM(K33:Q33)+3*U32)/10&gt;0.5,""yellow"",""red""))})"),"")</f>
        <v/>
      </c>
      <c r="L35" s="54"/>
      <c r="M35" s="54"/>
      <c r="N35" s="54"/>
      <c r="O35" s="54"/>
      <c r="P35" s="54"/>
      <c r="Q35" s="41"/>
    </row>
    <row r="53">
      <c r="M53" s="56"/>
      <c r="N53" s="56"/>
      <c r="O53" s="56"/>
      <c r="P53" s="56"/>
      <c r="Q53" s="56"/>
      <c r="R53" s="56"/>
    </row>
    <row r="54">
      <c r="M54" s="56"/>
      <c r="N54" s="56"/>
      <c r="O54" s="56"/>
      <c r="P54" s="56"/>
      <c r="Q54" s="56"/>
      <c r="R54" s="56"/>
    </row>
    <row r="55">
      <c r="M55" s="56"/>
      <c r="N55" s="70"/>
      <c r="O55" s="71"/>
      <c r="P55" s="71"/>
      <c r="Q55" s="56"/>
      <c r="R55" s="56"/>
    </row>
    <row r="56">
      <c r="M56" s="56"/>
      <c r="N56" s="56"/>
      <c r="O56" s="56"/>
      <c r="P56" s="56"/>
      <c r="Q56" s="56"/>
      <c r="R56" s="56"/>
    </row>
    <row r="57">
      <c r="M57" s="56"/>
      <c r="N57" s="56"/>
      <c r="O57" s="56"/>
      <c r="P57" s="56"/>
      <c r="Q57" s="56"/>
      <c r="R57" s="56"/>
    </row>
  </sheetData>
  <mergeCells count="11">
    <mergeCell ref="B18:H18"/>
    <mergeCell ref="K18:Q18"/>
    <mergeCell ref="B35:H35"/>
    <mergeCell ref="K35:Q35"/>
    <mergeCell ref="C1:Q2"/>
    <mergeCell ref="R1:R2"/>
    <mergeCell ref="S1:S2"/>
    <mergeCell ref="T1:U2"/>
    <mergeCell ref="W1:W2"/>
    <mergeCell ref="X1:X2"/>
    <mergeCell ref="W14:X14"/>
  </mergeCells>
  <conditionalFormatting sqref="R1">
    <cfRule type="cellIs" dxfId="6" priority="1" operator="between">
      <formula>0</formula>
      <formula>0.05</formula>
    </cfRule>
  </conditionalFormatting>
  <conditionalFormatting sqref="R1">
    <cfRule type="cellIs" dxfId="1" priority="2" operator="between">
      <formula>0.05</formula>
      <formula>0.25</formula>
    </cfRule>
  </conditionalFormatting>
  <conditionalFormatting sqref="T13:U15 B16:H16 K16:Q16 X19 T32:U32 B33:H33 K33:Q33">
    <cfRule type="cellIs" dxfId="1" priority="3" operator="between">
      <formula>0.1</formula>
      <formula>0.25</formula>
    </cfRule>
  </conditionalFormatting>
  <conditionalFormatting sqref="R1 T14:U14 B16:H16 K16:Q16 T32:U32 B33:H33 K33:Q33">
    <cfRule type="cellIs" dxfId="0" priority="4" operator="between">
      <formula>0.251</formula>
      <formula>0.5</formula>
    </cfRule>
  </conditionalFormatting>
  <conditionalFormatting sqref="T14:U14 B16:H16 K16:Q16 T32:U32 B33:H33 K33:Q33">
    <cfRule type="cellIs" dxfId="2" priority="5" operator="between">
      <formula>0.51</formula>
      <formula>0.7</formula>
    </cfRule>
  </conditionalFormatting>
  <conditionalFormatting sqref="R1 T14:U14 B16:H16 K16:Q16 T32:U32 B33:H33 K33:Q33">
    <cfRule type="cellIs" dxfId="3" priority="6" operator="between">
      <formula>0.71</formula>
      <formula>0.99</formula>
    </cfRule>
  </conditionalFormatting>
  <conditionalFormatting sqref="T4:U14 B5:H15 K5:Q15 X15:X18 B22:H32 K22:Q32 T22:U31">
    <cfRule type="cellIs" dxfId="3" priority="7" operator="equal">
      <formula>"TRUE"</formula>
    </cfRule>
  </conditionalFormatting>
  <conditionalFormatting sqref="T4:U13 T22:U31">
    <cfRule type="cellIs" dxfId="3" priority="8" operator="equal">
      <formula>"TRUE"</formula>
    </cfRule>
  </conditionalFormatting>
  <conditionalFormatting sqref="T11:U11 T26:U26">
    <cfRule type="cellIs" dxfId="1" priority="9" operator="between">
      <formula>0.1</formula>
      <formula>0.25</formula>
    </cfRule>
  </conditionalFormatting>
  <conditionalFormatting sqref="T11:U11 T15:U15 X19 T26:U26">
    <cfRule type="cellIs" dxfId="0" priority="10" operator="between">
      <formula>0.26</formula>
      <formula>0.5</formula>
    </cfRule>
  </conditionalFormatting>
  <conditionalFormatting sqref="R1 T10:U11 T13:U15 X19 T26:U26 T32:U32">
    <cfRule type="cellIs" dxfId="2" priority="11" operator="between">
      <formula>0.51</formula>
      <formula>0.75</formula>
    </cfRule>
  </conditionalFormatting>
  <conditionalFormatting sqref="T10:U11 T13:U15 X19 T26:U26 T32:U32">
    <cfRule type="cellIs" dxfId="4" priority="12" operator="between">
      <formula>0.76</formula>
      <formula>0.99</formula>
    </cfRule>
  </conditionalFormatting>
  <conditionalFormatting sqref="R1 T13:U15 B16:H16 K16:Q16 X19 T32:U32 B33:H33 K33:Q33">
    <cfRule type="cellIs" dxfId="5" priority="13" operator="greaterThanOrEqual">
      <formula>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4.0"/>
    <col customWidth="1" min="26" max="26" width="13.5"/>
  </cols>
  <sheetData>
    <row r="1" ht="5.25" customHeight="1">
      <c r="A1" s="113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44958.0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'Jan2023'!Q20+1</f>
        <v>44956</v>
      </c>
      <c r="D5" s="98">
        <f t="shared" ref="D5:I5" si="1">C5+1</f>
        <v>44957</v>
      </c>
      <c r="E5" s="98">
        <f t="shared" si="1"/>
        <v>44958</v>
      </c>
      <c r="F5" s="98">
        <f t="shared" si="1"/>
        <v>44959</v>
      </c>
      <c r="G5" s="98">
        <f t="shared" si="1"/>
        <v>44960</v>
      </c>
      <c r="H5" s="98">
        <f t="shared" si="1"/>
        <v>44961</v>
      </c>
      <c r="I5" s="125">
        <f t="shared" si="1"/>
        <v>44962</v>
      </c>
      <c r="J5" s="17"/>
      <c r="K5" s="126" t="s">
        <v>2</v>
      </c>
      <c r="L5" s="98">
        <f>I5+1</f>
        <v>44963</v>
      </c>
      <c r="M5" s="98">
        <f t="shared" ref="M5:R5" si="2">L5+1</f>
        <v>44964</v>
      </c>
      <c r="N5" s="98">
        <f t="shared" si="2"/>
        <v>44965</v>
      </c>
      <c r="O5" s="98">
        <f t="shared" si="2"/>
        <v>44966</v>
      </c>
      <c r="P5" s="98">
        <f t="shared" si="2"/>
        <v>44967</v>
      </c>
      <c r="Q5" s="98">
        <f t="shared" si="2"/>
        <v>44968</v>
      </c>
      <c r="R5" s="125">
        <f t="shared" si="2"/>
        <v>44969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1</v>
      </c>
      <c r="F7" s="28" t="b">
        <v>1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0.6907407407</v>
      </c>
    </row>
    <row r="8">
      <c r="A8" s="128"/>
      <c r="B8" s="79" t="s">
        <v>7</v>
      </c>
      <c r="C8" s="26" t="b">
        <v>1</v>
      </c>
      <c r="D8" s="26" t="b">
        <v>0</v>
      </c>
      <c r="E8" s="26" t="b">
        <v>1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327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1</v>
      </c>
      <c r="R9" s="32" t="b">
        <v>1</v>
      </c>
      <c r="T9" s="82" t="s">
        <v>6</v>
      </c>
      <c r="U9" s="26" t="b">
        <v>1</v>
      </c>
      <c r="V9" s="32" t="b">
        <v>1</v>
      </c>
      <c r="X9" s="131">
        <f>X8 + 'Jan2023'!X1</f>
        <v>632</v>
      </c>
    </row>
    <row r="10">
      <c r="A10" s="128"/>
      <c r="B10" s="79" t="s">
        <v>11</v>
      </c>
      <c r="C10" s="26" t="b">
        <v>1</v>
      </c>
      <c r="D10" s="26" t="b">
        <v>1</v>
      </c>
      <c r="E10" s="26" t="b">
        <v>1</v>
      </c>
      <c r="F10" s="26" t="b">
        <v>1</v>
      </c>
      <c r="G10" s="26" t="b">
        <v>1</v>
      </c>
      <c r="H10" s="26" t="b">
        <v>1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1</v>
      </c>
      <c r="O10" s="26" t="b">
        <v>1</v>
      </c>
      <c r="P10" s="26" t="b">
        <v>0</v>
      </c>
      <c r="Q10" s="26" t="b">
        <v>1</v>
      </c>
      <c r="R10" s="32" t="b">
        <v>1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1</v>
      </c>
      <c r="D11" s="26" t="b">
        <v>1</v>
      </c>
      <c r="E11" s="26" t="b">
        <v>1</v>
      </c>
      <c r="F11" s="26" t="b">
        <v>1</v>
      </c>
      <c r="G11" s="26" t="b">
        <v>1</v>
      </c>
      <c r="H11" s="26" t="b">
        <v>0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1</v>
      </c>
      <c r="O11" s="26" t="b">
        <v>1</v>
      </c>
      <c r="P11" s="26" t="b">
        <v>1</v>
      </c>
      <c r="Q11" s="26" t="b">
        <v>1</v>
      </c>
      <c r="R11" s="32" t="b">
        <v>1</v>
      </c>
      <c r="T11" s="82" t="s">
        <v>10</v>
      </c>
      <c r="U11" s="26" t="b">
        <v>1</v>
      </c>
      <c r="V11" s="32" t="b">
        <v>1</v>
      </c>
    </row>
    <row r="12">
      <c r="A12" s="127"/>
      <c r="B12" s="82" t="s">
        <v>37</v>
      </c>
      <c r="C12" s="26" t="b">
        <v>1</v>
      </c>
      <c r="D12" s="26" t="b">
        <v>1</v>
      </c>
      <c r="E12" s="26" t="b">
        <v>1</v>
      </c>
      <c r="F12" s="26" t="b">
        <v>1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1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1</v>
      </c>
      <c r="T12" s="82" t="s">
        <v>12</v>
      </c>
      <c r="U12" s="26" t="b">
        <v>0</v>
      </c>
      <c r="V12" s="32" t="b">
        <v>1</v>
      </c>
    </row>
    <row r="13">
      <c r="A13" s="128"/>
      <c r="B13" s="79" t="s">
        <v>45</v>
      </c>
      <c r="C13" s="26" t="b">
        <v>1</v>
      </c>
      <c r="D13" s="26" t="b">
        <v>0</v>
      </c>
      <c r="E13" s="26" t="b">
        <v>1</v>
      </c>
      <c r="F13" s="26" t="b">
        <v>1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(2.25L+)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1</v>
      </c>
      <c r="R13" s="32" t="b">
        <v>1</v>
      </c>
      <c r="T13" s="82" t="s">
        <v>14</v>
      </c>
      <c r="U13" s="26" t="b">
        <v>0</v>
      </c>
      <c r="V13" s="32" t="b">
        <v>1</v>
      </c>
    </row>
    <row r="14">
      <c r="A14" s="128"/>
      <c r="B14" s="79" t="s">
        <v>19</v>
      </c>
      <c r="C14" s="26" t="b">
        <v>0</v>
      </c>
      <c r="D14" s="26" t="b">
        <v>0</v>
      </c>
      <c r="E14" s="26" t="b">
        <v>1</v>
      </c>
      <c r="F14" s="26" t="b">
        <v>1</v>
      </c>
      <c r="G14" s="26" t="b">
        <v>0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1</v>
      </c>
      <c r="P14" s="26" t="b">
        <v>1</v>
      </c>
      <c r="Q14" s="26" t="b">
        <v>1</v>
      </c>
      <c r="R14" s="32" t="b">
        <v>0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1</v>
      </c>
      <c r="D15" s="26" t="b">
        <v>0</v>
      </c>
      <c r="E15" s="26" t="b">
        <v>1</v>
      </c>
      <c r="F15" s="26" t="b">
        <v>0</v>
      </c>
      <c r="G15" s="26" t="b">
        <v>0</v>
      </c>
      <c r="H15" s="26" t="b">
        <v>0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1</v>
      </c>
      <c r="N15" s="26" t="b">
        <v>1</v>
      </c>
      <c r="O15" s="26" t="b">
        <v>0</v>
      </c>
      <c r="P15" s="26" t="b">
        <v>1</v>
      </c>
      <c r="Q15" s="26" t="b">
        <v>1</v>
      </c>
      <c r="R15" s="32" t="b">
        <v>1</v>
      </c>
      <c r="T15" s="82" t="s">
        <v>18</v>
      </c>
      <c r="U15" s="26" t="b">
        <v>0</v>
      </c>
      <c r="V15" s="32" t="b">
        <v>1</v>
      </c>
    </row>
    <row r="16">
      <c r="A16" s="128"/>
      <c r="B16" s="79" t="s">
        <v>23</v>
      </c>
      <c r="C16" s="26" t="b">
        <v>1</v>
      </c>
      <c r="D16" s="26" t="b">
        <v>1</v>
      </c>
      <c r="E16" s="26" t="b">
        <v>1</v>
      </c>
      <c r="F16" s="26" t="b">
        <v>1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1</v>
      </c>
      <c r="M16" s="26" t="b">
        <v>1</v>
      </c>
      <c r="N16" s="26" t="b">
        <v>1</v>
      </c>
      <c r="O16" s="26" t="b">
        <v>1</v>
      </c>
      <c r="P16" s="26" t="b">
        <v>1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1</v>
      </c>
      <c r="D17" s="26" t="b">
        <v>1</v>
      </c>
      <c r="E17" s="26" t="b">
        <v>1</v>
      </c>
      <c r="F17" s="26" t="b">
        <v>1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1</v>
      </c>
      <c r="N17" s="26" t="b">
        <v>0</v>
      </c>
      <c r="O17" s="26" t="b">
        <v>0</v>
      </c>
      <c r="P17" s="26" t="b">
        <v>0</v>
      </c>
      <c r="Q17" s="26" t="b">
        <v>1</v>
      </c>
      <c r="R17" s="32" t="b">
        <v>1</v>
      </c>
      <c r="T17" s="82" t="s">
        <v>22</v>
      </c>
      <c r="U17" s="26" t="b">
        <v>0</v>
      </c>
      <c r="V17" s="32" t="b">
        <v>1</v>
      </c>
      <c r="X17" s="82" t="s">
        <v>28</v>
      </c>
      <c r="Y17" s="32" t="b">
        <v>1</v>
      </c>
    </row>
    <row r="18">
      <c r="A18" s="133"/>
      <c r="B18" s="86" t="s">
        <v>46</v>
      </c>
      <c r="C18" s="38" t="b">
        <v>1</v>
      </c>
      <c r="D18" s="38" t="b">
        <v>1</v>
      </c>
      <c r="E18" s="38" t="b">
        <v>1</v>
      </c>
      <c r="F18" s="38" t="b">
        <v>1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1</v>
      </c>
      <c r="M18" s="26" t="b">
        <v>1</v>
      </c>
      <c r="N18" s="26" t="b">
        <v>1</v>
      </c>
      <c r="O18" s="26" t="b">
        <v>1</v>
      </c>
      <c r="P18" s="26" t="b">
        <v>1</v>
      </c>
      <c r="Q18" s="26" t="b">
        <v>1</v>
      </c>
      <c r="R18" s="32" t="b">
        <v>1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1</v>
      </c>
    </row>
    <row r="19">
      <c r="A19" s="127"/>
      <c r="B19" s="88" t="s">
        <v>27</v>
      </c>
      <c r="C19" s="44">
        <f t="shared" ref="C19:I19" si="6">COUNTIF(C7:C18,True)/COUNTA(C7:C18)</f>
        <v>0.9166666667</v>
      </c>
      <c r="D19" s="44">
        <f t="shared" si="6"/>
        <v>0.6666666667</v>
      </c>
      <c r="E19" s="44">
        <f t="shared" si="6"/>
        <v>1</v>
      </c>
      <c r="F19" s="44">
        <f t="shared" si="6"/>
        <v>0.8333333333</v>
      </c>
      <c r="G19" s="44">
        <f t="shared" si="6"/>
        <v>0.25</v>
      </c>
      <c r="H19" s="44">
        <f t="shared" si="6"/>
        <v>0.1666666667</v>
      </c>
      <c r="I19" s="45">
        <f t="shared" si="6"/>
        <v>0.3333333333</v>
      </c>
      <c r="J19" s="21"/>
      <c r="K19" s="134" t="s">
        <v>27</v>
      </c>
      <c r="L19" s="135">
        <f t="shared" ref="L19:R19" si="7">COUNTIF(L7:L18,True)/COUNTA(L7:L18)</f>
        <v>0.5833333333</v>
      </c>
      <c r="M19" s="135">
        <f t="shared" si="7"/>
        <v>0.75</v>
      </c>
      <c r="N19" s="135">
        <f t="shared" si="7"/>
        <v>0.5833333333</v>
      </c>
      <c r="O19" s="135">
        <f t="shared" si="7"/>
        <v>0.5</v>
      </c>
      <c r="P19" s="135">
        <f t="shared" si="7"/>
        <v>0.5</v>
      </c>
      <c r="Q19" s="135">
        <f t="shared" si="7"/>
        <v>0.6666666667</v>
      </c>
      <c r="R19" s="92">
        <f t="shared" si="7"/>
        <v>0.6666666667</v>
      </c>
      <c r="T19" s="88" t="s">
        <v>27</v>
      </c>
      <c r="U19" s="44">
        <f t="shared" ref="U19:V19" si="8">COUNTIF(U9:U18,True)/COUNTA(U9:U18)</f>
        <v>0.5</v>
      </c>
      <c r="V19" s="45">
        <f t="shared" si="8"/>
        <v>0.9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X20" s="82" t="s">
        <v>32</v>
      </c>
      <c r="Y20" s="32" t="b">
        <v>0</v>
      </c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X21" s="85" t="s">
        <v>34</v>
      </c>
      <c r="Y21" s="32" t="b">
        <v>1</v>
      </c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0.8</v>
      </c>
      <c r="Z22" s="56"/>
    </row>
    <row r="23">
      <c r="A23" s="127"/>
      <c r="B23" s="139" t="s">
        <v>35</v>
      </c>
      <c r="C23" s="97">
        <f>R5+1</f>
        <v>44970</v>
      </c>
      <c r="D23" s="108">
        <f t="shared" ref="D23:I23" si="9">C23+1</f>
        <v>44971</v>
      </c>
      <c r="E23" s="108">
        <f t="shared" si="9"/>
        <v>44972</v>
      </c>
      <c r="F23" s="108">
        <f t="shared" si="9"/>
        <v>44973</v>
      </c>
      <c r="G23" s="108">
        <f t="shared" si="9"/>
        <v>44974</v>
      </c>
      <c r="H23" s="108">
        <f t="shared" si="9"/>
        <v>44975</v>
      </c>
      <c r="I23" s="111">
        <f t="shared" si="9"/>
        <v>44976</v>
      </c>
      <c r="J23" s="52"/>
      <c r="K23" s="110" t="s">
        <v>36</v>
      </c>
      <c r="L23" s="108">
        <f>I23+1</f>
        <v>44977</v>
      </c>
      <c r="M23" s="108">
        <f t="shared" ref="M23:R23" si="10">L23+1</f>
        <v>44978</v>
      </c>
      <c r="N23" s="108">
        <f t="shared" si="10"/>
        <v>44979</v>
      </c>
      <c r="O23" s="108">
        <f t="shared" si="10"/>
        <v>44980</v>
      </c>
      <c r="P23" s="108">
        <f t="shared" si="10"/>
        <v>44981</v>
      </c>
      <c r="Q23" s="108">
        <f t="shared" si="10"/>
        <v>44982</v>
      </c>
      <c r="R23" s="111">
        <f t="shared" si="10"/>
        <v>44983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1</v>
      </c>
      <c r="D25" s="26" t="b">
        <v>1</v>
      </c>
      <c r="E25" s="26" t="b">
        <v>1</v>
      </c>
      <c r="F25" s="28" t="b">
        <v>1</v>
      </c>
      <c r="G25" s="26" t="b">
        <v>1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1</v>
      </c>
      <c r="M25" s="26" t="b">
        <v>1</v>
      </c>
      <c r="N25" s="26" t="b">
        <v>1</v>
      </c>
      <c r="O25" s="26" t="b">
        <v>0</v>
      </c>
      <c r="P25" s="26" t="b">
        <v>1</v>
      </c>
      <c r="Q25" s="26" t="b">
        <v>0</v>
      </c>
      <c r="R25" s="29" t="b">
        <v>0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6" t="b">
        <v>1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1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0</v>
      </c>
      <c r="F27" s="28" t="b">
        <v>1</v>
      </c>
      <c r="G27" s="26" t="b">
        <v>1</v>
      </c>
      <c r="H27" s="26" t="b">
        <v>1</v>
      </c>
      <c r="I27" s="32" t="b">
        <v>1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1</v>
      </c>
      <c r="R27" s="32" t="b">
        <v>1</v>
      </c>
      <c r="T27" s="82" t="s">
        <v>12</v>
      </c>
      <c r="U27" s="26" t="b">
        <v>1</v>
      </c>
      <c r="V27" s="32" t="b">
        <v>1</v>
      </c>
    </row>
    <row r="28">
      <c r="A28" s="127"/>
      <c r="B28" s="82" t="str">
        <f t="shared" si="13"/>
        <v>Eat in</v>
      </c>
      <c r="C28" s="26" t="b">
        <v>1</v>
      </c>
      <c r="D28" s="26" t="b">
        <v>1</v>
      </c>
      <c r="E28" s="26" t="b">
        <v>1</v>
      </c>
      <c r="F28" s="26" t="b">
        <v>0</v>
      </c>
      <c r="G28" s="26" t="b">
        <v>1</v>
      </c>
      <c r="H28" s="26" t="b">
        <v>1</v>
      </c>
      <c r="I28" s="32" t="b">
        <v>1</v>
      </c>
      <c r="J28" s="30"/>
      <c r="K28" s="81" t="str">
        <f t="shared" si="14"/>
        <v>Eat in</v>
      </c>
      <c r="L28" s="26" t="b">
        <v>1</v>
      </c>
      <c r="M28" s="26" t="b">
        <v>1</v>
      </c>
      <c r="N28" s="26" t="b">
        <v>1</v>
      </c>
      <c r="O28" s="26" t="b">
        <v>0</v>
      </c>
      <c r="P28" s="26" t="b">
        <v>1</v>
      </c>
      <c r="Q28" s="26" t="b">
        <v>1</v>
      </c>
      <c r="R28" s="32" t="b">
        <v>1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1</v>
      </c>
      <c r="D29" s="26" t="b">
        <v>1</v>
      </c>
      <c r="E29" s="26" t="b">
        <v>1</v>
      </c>
      <c r="F29" s="26" t="b">
        <v>1</v>
      </c>
      <c r="G29" s="26" t="b">
        <v>1</v>
      </c>
      <c r="H29" s="26" t="b">
        <v>1</v>
      </c>
      <c r="I29" s="32" t="b">
        <v>1</v>
      </c>
      <c r="J29" s="30"/>
      <c r="K29" s="95" t="str">
        <f t="shared" si="14"/>
        <v>Review Budget/Goals</v>
      </c>
      <c r="L29" s="26" t="b">
        <v>1</v>
      </c>
      <c r="M29" s="26" t="b">
        <v>1</v>
      </c>
      <c r="N29" s="26" t="b">
        <v>1</v>
      </c>
      <c r="O29" s="26" t="b">
        <v>1</v>
      </c>
      <c r="P29" s="26" t="b">
        <v>1</v>
      </c>
      <c r="Q29" s="26" t="b">
        <v>1</v>
      </c>
      <c r="R29" s="32" t="b">
        <v>1</v>
      </c>
      <c r="T29" s="82" t="s">
        <v>16</v>
      </c>
      <c r="U29" s="26" t="b">
        <v>1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0</v>
      </c>
      <c r="D30" s="26" t="b">
        <v>1</v>
      </c>
      <c r="E30" s="26" t="b">
        <v>0</v>
      </c>
      <c r="F30" s="26" t="b">
        <v>1</v>
      </c>
      <c r="G30" s="27" t="b">
        <v>0</v>
      </c>
      <c r="H30" s="26" t="b">
        <v>0</v>
      </c>
      <c r="I30" s="32" t="b">
        <v>1</v>
      </c>
      <c r="J30" s="30"/>
      <c r="K30" s="81" t="str">
        <f t="shared" si="14"/>
        <v>(2x)Brush+(1x)Floss</v>
      </c>
      <c r="L30" s="26" t="b">
        <v>1</v>
      </c>
      <c r="M30" s="26" t="b">
        <v>1</v>
      </c>
      <c r="N30" s="26" t="b">
        <v>0</v>
      </c>
      <c r="O30" s="26" t="b">
        <v>1</v>
      </c>
      <c r="P30" s="26" t="b">
        <v>0</v>
      </c>
      <c r="Q30" s="26" t="b">
        <v>0</v>
      </c>
      <c r="R30" s="32" t="b">
        <v>1</v>
      </c>
      <c r="T30" s="82" t="s">
        <v>18</v>
      </c>
      <c r="U30" s="26" t="b">
        <v>1</v>
      </c>
      <c r="V30" s="32" t="b">
        <v>1</v>
      </c>
    </row>
    <row r="31">
      <c r="A31" s="127"/>
      <c r="B31" s="82" t="str">
        <f t="shared" si="13"/>
        <v>Water (2.25L+)</v>
      </c>
      <c r="C31" s="26" t="b">
        <v>1</v>
      </c>
      <c r="D31" s="26" t="b">
        <v>1</v>
      </c>
      <c r="E31" s="26" t="b">
        <v>1</v>
      </c>
      <c r="F31" s="26" t="b">
        <v>1</v>
      </c>
      <c r="G31" s="26" t="b">
        <v>1</v>
      </c>
      <c r="H31" s="26" t="b">
        <v>1</v>
      </c>
      <c r="I31" s="32" t="b">
        <v>1</v>
      </c>
      <c r="J31" s="30"/>
      <c r="K31" s="81" t="str">
        <f t="shared" si="14"/>
        <v>Water (2.25L+)</v>
      </c>
      <c r="L31" s="26" t="b">
        <v>1</v>
      </c>
      <c r="M31" s="26" t="b">
        <v>1</v>
      </c>
      <c r="N31" s="26" t="b">
        <v>1</v>
      </c>
      <c r="O31" s="26" t="b">
        <v>1</v>
      </c>
      <c r="P31" s="26" t="b">
        <v>1</v>
      </c>
      <c r="Q31" s="26" t="b">
        <v>1</v>
      </c>
      <c r="R31" s="32" t="b">
        <v>1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1</v>
      </c>
      <c r="D32" s="26" t="b">
        <v>1</v>
      </c>
      <c r="E32" s="26" t="b">
        <v>1</v>
      </c>
      <c r="F32" s="27" t="b">
        <v>0</v>
      </c>
      <c r="G32" s="27" t="b">
        <v>0</v>
      </c>
      <c r="H32" s="26" t="b">
        <v>1</v>
      </c>
      <c r="I32" s="32" t="b">
        <v>0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0</v>
      </c>
      <c r="O32" s="26" t="b">
        <v>0</v>
      </c>
      <c r="P32" s="26" t="b">
        <v>1</v>
      </c>
      <c r="Q32" s="26" t="b">
        <v>1</v>
      </c>
      <c r="R32" s="32" t="b">
        <v>1</v>
      </c>
      <c r="T32" s="82" t="s">
        <v>22</v>
      </c>
      <c r="U32" s="26" t="b">
        <v>1</v>
      </c>
      <c r="V32" s="32" t="b">
        <v>1</v>
      </c>
    </row>
    <row r="33">
      <c r="A33" s="127"/>
      <c r="B33" s="82" t="str">
        <f t="shared" si="13"/>
        <v>Clean (~20 min)</v>
      </c>
      <c r="C33" s="26" t="b">
        <v>1</v>
      </c>
      <c r="D33" s="26" t="b">
        <v>0</v>
      </c>
      <c r="E33" s="26" t="b">
        <v>0</v>
      </c>
      <c r="F33" s="27" t="b">
        <v>0</v>
      </c>
      <c r="G33" s="26" t="b">
        <v>1</v>
      </c>
      <c r="H33" s="26" t="b">
        <v>1</v>
      </c>
      <c r="I33" s="32" t="b">
        <v>1</v>
      </c>
      <c r="J33" s="30"/>
      <c r="K33" s="81" t="str">
        <f t="shared" si="14"/>
        <v>Clean (~20 min)</v>
      </c>
      <c r="L33" s="26" t="b">
        <v>1</v>
      </c>
      <c r="M33" s="26" t="b">
        <v>1</v>
      </c>
      <c r="N33" s="26" t="b">
        <v>0</v>
      </c>
      <c r="O33" s="26" t="b">
        <v>0</v>
      </c>
      <c r="P33" s="26" t="b">
        <v>1</v>
      </c>
      <c r="Q33" s="26" t="b">
        <v>0</v>
      </c>
      <c r="R33" s="32" t="b">
        <v>1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1</v>
      </c>
      <c r="D34" s="26" t="b">
        <v>0</v>
      </c>
      <c r="E34" s="26" t="b">
        <v>1</v>
      </c>
      <c r="F34" s="26" t="b">
        <v>1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1</v>
      </c>
      <c r="N34" s="26" t="b">
        <v>1</v>
      </c>
      <c r="O34" s="26" t="b">
        <v>1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V34" si="15">COUNTIF(U24:U33,True)/COUNTA(U24:U33)</f>
        <v>0.8</v>
      </c>
      <c r="V34" s="69">
        <f t="shared" si="15"/>
        <v>0.8</v>
      </c>
    </row>
    <row r="35">
      <c r="A35" s="133"/>
      <c r="B35" s="81" t="str">
        <f t="shared" si="13"/>
        <v>Vitamins</v>
      </c>
      <c r="C35" s="26" t="b">
        <v>1</v>
      </c>
      <c r="D35" s="26" t="b">
        <v>1</v>
      </c>
      <c r="E35" s="26" t="b">
        <v>1</v>
      </c>
      <c r="F35" s="26" t="b">
        <v>1</v>
      </c>
      <c r="G35" s="26" t="b">
        <v>1</v>
      </c>
      <c r="H35" s="26" t="b">
        <v>1</v>
      </c>
      <c r="I35" s="32" t="b">
        <v>1</v>
      </c>
      <c r="J35" s="30"/>
      <c r="K35" s="81" t="str">
        <f t="shared" si="14"/>
        <v>Vitamins</v>
      </c>
      <c r="L35" s="26" t="b">
        <v>1</v>
      </c>
      <c r="M35" s="26" t="b">
        <v>1</v>
      </c>
      <c r="N35" s="26" t="b">
        <v>0</v>
      </c>
      <c r="O35" s="26" t="b">
        <v>1</v>
      </c>
      <c r="P35" s="26" t="b">
        <v>0</v>
      </c>
      <c r="Q35" s="26" t="b">
        <v>0</v>
      </c>
      <c r="R35" s="32" t="b">
        <v>1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9" t="str">
        <f>IFERROR(__xludf.DUMMYFUNCTION("SPARKLINE(V34,{""charttype"",""bar"";""max"",1;""min"",0;""color1"",IF(V34&gt;0.7,""green"",IF(V34&gt;0.5,""yellow"",""red""))})"),"")</f>
        <v/>
      </c>
    </row>
    <row r="36">
      <c r="A36" s="133"/>
      <c r="B36" s="86" t="str">
        <f t="shared" si="13"/>
        <v>Duolingo</v>
      </c>
      <c r="C36" s="38" t="b">
        <v>1</v>
      </c>
      <c r="D36" s="38" t="b">
        <v>1</v>
      </c>
      <c r="E36" s="38" t="b">
        <v>0</v>
      </c>
      <c r="F36" s="38" t="b">
        <v>1</v>
      </c>
      <c r="G36" s="38" t="b">
        <v>1</v>
      </c>
      <c r="H36" s="38" t="b">
        <v>0</v>
      </c>
      <c r="I36" s="39" t="b">
        <v>1</v>
      </c>
      <c r="J36" s="30"/>
      <c r="K36" s="81" t="str">
        <f>B36</f>
        <v>Duolingo</v>
      </c>
      <c r="L36" s="26" t="b">
        <v>1</v>
      </c>
      <c r="M36" s="26" t="b">
        <v>1</v>
      </c>
      <c r="N36" s="26" t="b">
        <v>0</v>
      </c>
      <c r="O36" s="26" t="b">
        <v>1</v>
      </c>
      <c r="P36" s="26" t="b">
        <v>1</v>
      </c>
      <c r="Q36" s="26" t="b">
        <v>1</v>
      </c>
      <c r="R36" s="32" t="b">
        <v>1</v>
      </c>
      <c r="T36" s="90" t="s">
        <v>29</v>
      </c>
      <c r="U36" s="49" t="str">
        <f>IFERROR(__xludf.DUMMYFUNCTION("SPARKLINE((U34+V34)/2,{""charttype"",""bar"";""max"",1;""min"",0;""color1"",IF((U34+V34)/2&gt;0.7,""green"",IF((U34+V34)/2&gt;0.5,""yellow"",""red""))})"),"")</f>
        <v/>
      </c>
      <c r="V36" s="41"/>
    </row>
    <row r="37">
      <c r="A37" s="127"/>
      <c r="B37" s="88" t="s">
        <v>27</v>
      </c>
      <c r="C37" s="44">
        <f t="shared" ref="C37:I37" si="16">COUNTIF(C25:C36,True)/COUNTA(C25:C36)</f>
        <v>0.8333333333</v>
      </c>
      <c r="D37" s="44">
        <f t="shared" si="16"/>
        <v>0.75</v>
      </c>
      <c r="E37" s="44">
        <f t="shared" si="16"/>
        <v>0.5833333333</v>
      </c>
      <c r="F37" s="44">
        <f t="shared" si="16"/>
        <v>0.75</v>
      </c>
      <c r="G37" s="44">
        <f t="shared" si="16"/>
        <v>0.6666666667</v>
      </c>
      <c r="H37" s="44">
        <f t="shared" si="16"/>
        <v>0.5833333333</v>
      </c>
      <c r="I37" s="45">
        <f t="shared" si="16"/>
        <v>0.6666666667</v>
      </c>
      <c r="J37" s="21"/>
      <c r="K37" s="134" t="s">
        <v>27</v>
      </c>
      <c r="L37" s="135">
        <f t="shared" ref="L37:R37" si="17">COUNTIF(L25:L36,True)/COUNTA(L25:L36)</f>
        <v>0.9166666667</v>
      </c>
      <c r="M37" s="135">
        <f t="shared" si="17"/>
        <v>0.9166666667</v>
      </c>
      <c r="N37" s="135">
        <f t="shared" si="17"/>
        <v>0.5</v>
      </c>
      <c r="O37" s="135">
        <f t="shared" si="17"/>
        <v>0.5833333333</v>
      </c>
      <c r="P37" s="135">
        <f t="shared" si="17"/>
        <v>0.6666666667</v>
      </c>
      <c r="Q37" s="135">
        <f t="shared" si="17"/>
        <v>0.5</v>
      </c>
      <c r="R37" s="92">
        <f t="shared" si="17"/>
        <v>0.75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9">
    <mergeCell ref="C39:I39"/>
    <mergeCell ref="L39:R39"/>
    <mergeCell ref="D2:R3"/>
    <mergeCell ref="S2:S3"/>
    <mergeCell ref="X16:Y16"/>
    <mergeCell ref="C21:I21"/>
    <mergeCell ref="L21:R21"/>
    <mergeCell ref="U21:V21"/>
    <mergeCell ref="U36:V3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4.0"/>
    <col customWidth="1" min="26" max="26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44986.0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'Feb2023'!R23+1</f>
        <v>44984</v>
      </c>
      <c r="D5" s="98">
        <f t="shared" ref="D5:I5" si="1">C5+1</f>
        <v>44985</v>
      </c>
      <c r="E5" s="98">
        <f t="shared" si="1"/>
        <v>44986</v>
      </c>
      <c r="F5" s="98">
        <f t="shared" si="1"/>
        <v>44987</v>
      </c>
      <c r="G5" s="98">
        <f t="shared" si="1"/>
        <v>44988</v>
      </c>
      <c r="H5" s="98">
        <f t="shared" si="1"/>
        <v>44989</v>
      </c>
      <c r="I5" s="125">
        <f t="shared" si="1"/>
        <v>44990</v>
      </c>
      <c r="J5" s="17"/>
      <c r="K5" s="126" t="s">
        <v>2</v>
      </c>
      <c r="L5" s="98">
        <f>I5+1</f>
        <v>44991</v>
      </c>
      <c r="M5" s="98">
        <f t="shared" ref="M5:R5" si="2">L5+1</f>
        <v>44992</v>
      </c>
      <c r="N5" s="98">
        <f t="shared" si="2"/>
        <v>44993</v>
      </c>
      <c r="O5" s="98">
        <f t="shared" si="2"/>
        <v>44994</v>
      </c>
      <c r="P5" s="98">
        <f t="shared" si="2"/>
        <v>44995</v>
      </c>
      <c r="Q5" s="98">
        <f t="shared" si="2"/>
        <v>44996</v>
      </c>
      <c r="R5" s="125">
        <f t="shared" si="2"/>
        <v>44997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1</v>
      </c>
      <c r="F7" s="28" t="b">
        <v>1</v>
      </c>
      <c r="G7" s="26" t="b">
        <v>1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1</v>
      </c>
      <c r="N7" s="26" t="b">
        <v>1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0.5303030303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1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263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1</v>
      </c>
      <c r="R9" s="32" t="b">
        <v>1</v>
      </c>
      <c r="T9" s="82" t="s">
        <v>6</v>
      </c>
      <c r="U9" s="26" t="b">
        <v>0</v>
      </c>
      <c r="V9" s="32" t="b">
        <v>1</v>
      </c>
      <c r="X9" s="131">
        <f>X8 + 'Feb2023'!X9</f>
        <v>895</v>
      </c>
    </row>
    <row r="10">
      <c r="A10" s="128"/>
      <c r="B10" s="79" t="s">
        <v>11</v>
      </c>
      <c r="C10" s="26" t="b">
        <v>1</v>
      </c>
      <c r="D10" s="26" t="b">
        <v>1</v>
      </c>
      <c r="E10" s="26" t="b">
        <v>1</v>
      </c>
      <c r="F10" s="26" t="b">
        <v>1</v>
      </c>
      <c r="G10" s="26" t="b">
        <v>0</v>
      </c>
      <c r="H10" s="26" t="b">
        <v>0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0</v>
      </c>
      <c r="N10" s="26" t="b">
        <v>0</v>
      </c>
      <c r="O10" s="26" t="b">
        <v>1</v>
      </c>
      <c r="P10" s="26" t="b">
        <v>1</v>
      </c>
      <c r="Q10" s="26" t="b">
        <v>0</v>
      </c>
      <c r="R10" s="32" t="b">
        <v>1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1</v>
      </c>
      <c r="D11" s="26" t="b">
        <v>1</v>
      </c>
      <c r="E11" s="26" t="b">
        <v>1</v>
      </c>
      <c r="F11" s="26" t="b">
        <v>1</v>
      </c>
      <c r="G11" s="26" t="b">
        <v>1</v>
      </c>
      <c r="H11" s="26" t="b">
        <v>1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1</v>
      </c>
      <c r="O11" s="26" t="b">
        <v>1</v>
      </c>
      <c r="P11" s="26" t="b">
        <v>1</v>
      </c>
      <c r="Q11" s="26" t="b">
        <v>1</v>
      </c>
      <c r="R11" s="32" t="b">
        <v>1</v>
      </c>
      <c r="T11" s="82" t="s">
        <v>10</v>
      </c>
      <c r="U11" s="26" t="b">
        <v>0</v>
      </c>
      <c r="V11" s="32" t="b">
        <v>1</v>
      </c>
    </row>
    <row r="12">
      <c r="A12" s="127"/>
      <c r="B12" s="82" t="s">
        <v>37</v>
      </c>
      <c r="C12" s="26" t="b">
        <v>1</v>
      </c>
      <c r="D12" s="26" t="b">
        <v>1</v>
      </c>
      <c r="E12" s="26" t="b">
        <v>1</v>
      </c>
      <c r="F12" s="26" t="b">
        <v>1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1</v>
      </c>
      <c r="N12" s="26" t="b">
        <v>1</v>
      </c>
      <c r="O12" s="26" t="b">
        <v>0</v>
      </c>
      <c r="P12" s="26" t="b">
        <v>1</v>
      </c>
      <c r="Q12" s="26" t="b">
        <v>1</v>
      </c>
      <c r="R12" s="32" t="b">
        <v>0</v>
      </c>
      <c r="T12" s="82" t="s">
        <v>12</v>
      </c>
      <c r="U12" s="26" t="b">
        <v>0</v>
      </c>
      <c r="V12" s="32" t="b">
        <v>1</v>
      </c>
    </row>
    <row r="13">
      <c r="A13" s="128"/>
      <c r="B13" s="79" t="s">
        <v>49</v>
      </c>
      <c r="C13" s="26" t="b">
        <v>1</v>
      </c>
      <c r="D13" s="26" t="b">
        <v>1</v>
      </c>
      <c r="E13" s="26" t="b">
        <v>1</v>
      </c>
      <c r="F13" s="26" t="b">
        <v>1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1</v>
      </c>
      <c r="M13" s="26" t="b">
        <v>1</v>
      </c>
      <c r="N13" s="26" t="b">
        <v>1</v>
      </c>
      <c r="O13" s="26" t="b">
        <v>0</v>
      </c>
      <c r="P13" s="26" t="b">
        <v>1</v>
      </c>
      <c r="Q13" s="26" t="b">
        <v>0</v>
      </c>
      <c r="R13" s="32" t="b">
        <v>0</v>
      </c>
      <c r="T13" s="82" t="s">
        <v>14</v>
      </c>
      <c r="U13" s="26" t="b">
        <v>1</v>
      </c>
      <c r="V13" s="32" t="b">
        <v>0</v>
      </c>
    </row>
    <row r="14">
      <c r="A14" s="128"/>
      <c r="B14" s="79" t="s">
        <v>19</v>
      </c>
      <c r="C14" s="26" t="b">
        <v>0</v>
      </c>
      <c r="D14" s="26" t="b">
        <v>1</v>
      </c>
      <c r="E14" s="26" t="b">
        <v>1</v>
      </c>
      <c r="F14" s="26" t="b">
        <v>0</v>
      </c>
      <c r="G14" s="26" t="b">
        <v>1</v>
      </c>
      <c r="H14" s="26" t="b">
        <v>0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0</v>
      </c>
      <c r="N14" s="26" t="b">
        <v>1</v>
      </c>
      <c r="O14" s="26" t="b">
        <v>1</v>
      </c>
      <c r="P14" s="26" t="b">
        <v>1</v>
      </c>
      <c r="Q14" s="26" t="b">
        <v>1</v>
      </c>
      <c r="R14" s="32" t="b">
        <v>1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1</v>
      </c>
      <c r="D15" s="26" t="b">
        <v>1</v>
      </c>
      <c r="E15" s="26" t="b">
        <v>1</v>
      </c>
      <c r="F15" s="26" t="b">
        <v>0</v>
      </c>
      <c r="G15" s="26" t="b">
        <v>1</v>
      </c>
      <c r="H15" s="26" t="b">
        <v>0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1</v>
      </c>
      <c r="P15" s="26" t="b">
        <v>1</v>
      </c>
      <c r="Q15" s="26" t="b">
        <v>1</v>
      </c>
      <c r="R15" s="32" t="b">
        <v>1</v>
      </c>
      <c r="T15" s="82" t="s">
        <v>18</v>
      </c>
      <c r="U15" s="26" t="b">
        <v>1</v>
      </c>
      <c r="V15" s="32" t="b">
        <v>1</v>
      </c>
    </row>
    <row r="16">
      <c r="A16" s="128"/>
      <c r="B16" s="79" t="s">
        <v>23</v>
      </c>
      <c r="C16" s="26" t="b">
        <v>1</v>
      </c>
      <c r="D16" s="26" t="b">
        <v>1</v>
      </c>
      <c r="E16" s="26" t="b">
        <v>1</v>
      </c>
      <c r="F16" s="26" t="b">
        <v>1</v>
      </c>
      <c r="G16" s="26" t="b">
        <v>1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1</v>
      </c>
      <c r="N16" s="26" t="b">
        <v>0</v>
      </c>
      <c r="O16" s="26" t="b">
        <v>0</v>
      </c>
      <c r="P16" s="26" t="b">
        <v>1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0</v>
      </c>
      <c r="X16" s="40" t="s">
        <v>25</v>
      </c>
      <c r="Y16" s="41"/>
    </row>
    <row r="17">
      <c r="A17" s="133"/>
      <c r="B17" s="81" t="s">
        <v>26</v>
      </c>
      <c r="C17" s="26" t="b">
        <v>1</v>
      </c>
      <c r="D17" s="26" t="b">
        <v>1</v>
      </c>
      <c r="E17" s="26" t="b">
        <v>1</v>
      </c>
      <c r="F17" s="26" t="b">
        <v>1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1</v>
      </c>
      <c r="M17" s="26" t="b">
        <v>1</v>
      </c>
      <c r="N17" s="26" t="b">
        <v>1</v>
      </c>
      <c r="O17" s="26" t="b">
        <v>1</v>
      </c>
      <c r="P17" s="26" t="b">
        <v>1</v>
      </c>
      <c r="Q17" s="26" t="b">
        <v>1</v>
      </c>
      <c r="R17" s="32" t="b">
        <v>1</v>
      </c>
      <c r="T17" s="82" t="s">
        <v>22</v>
      </c>
      <c r="U17" s="26" t="b">
        <v>1</v>
      </c>
      <c r="V17" s="32" t="b">
        <v>1</v>
      </c>
      <c r="X17" s="82" t="s">
        <v>28</v>
      </c>
      <c r="Y17" s="32" t="b">
        <v>0</v>
      </c>
    </row>
    <row r="18">
      <c r="A18" s="133"/>
      <c r="B18" s="86" t="s">
        <v>46</v>
      </c>
      <c r="C18" s="38" t="b">
        <v>1</v>
      </c>
      <c r="D18" s="38" t="b">
        <v>1</v>
      </c>
      <c r="E18" s="38" t="b">
        <v>1</v>
      </c>
      <c r="F18" s="38" t="b">
        <v>1</v>
      </c>
      <c r="G18" s="38" t="b">
        <v>1</v>
      </c>
      <c r="H18" s="38" t="b">
        <v>1</v>
      </c>
      <c r="I18" s="39" t="b">
        <v>1</v>
      </c>
      <c r="J18" s="30"/>
      <c r="K18" s="81" t="str">
        <f t="shared" si="5"/>
        <v>Duolingo</v>
      </c>
      <c r="L18" s="26" t="b">
        <v>1</v>
      </c>
      <c r="M18" s="26" t="b">
        <v>1</v>
      </c>
      <c r="N18" s="26" t="b">
        <v>1</v>
      </c>
      <c r="O18" s="26" t="b">
        <v>1</v>
      </c>
      <c r="P18" s="26" t="b">
        <v>1</v>
      </c>
      <c r="Q18" s="26" t="b">
        <v>1</v>
      </c>
      <c r="R18" s="32" t="b">
        <v>1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0.8333333333</v>
      </c>
      <c r="D19" s="44">
        <f t="shared" si="6"/>
        <v>0.9166666667</v>
      </c>
      <c r="E19" s="44">
        <f t="shared" si="6"/>
        <v>0.9166666667</v>
      </c>
      <c r="F19" s="44">
        <f t="shared" si="6"/>
        <v>0.8333333333</v>
      </c>
      <c r="G19" s="44">
        <f t="shared" si="6"/>
        <v>0.5833333333</v>
      </c>
      <c r="H19" s="44">
        <f t="shared" si="6"/>
        <v>0.25</v>
      </c>
      <c r="I19" s="45">
        <f t="shared" si="6"/>
        <v>0.5</v>
      </c>
      <c r="J19" s="21"/>
      <c r="K19" s="134" t="s">
        <v>27</v>
      </c>
      <c r="L19" s="135">
        <f t="shared" ref="L19:R19" si="7">COUNTIF(L7:L18,True)/COUNTA(L7:L18)</f>
        <v>0.75</v>
      </c>
      <c r="M19" s="135">
        <f t="shared" si="7"/>
        <v>0.6666666667</v>
      </c>
      <c r="N19" s="135">
        <f t="shared" si="7"/>
        <v>0.6666666667</v>
      </c>
      <c r="O19" s="135">
        <f t="shared" si="7"/>
        <v>0.5833333333</v>
      </c>
      <c r="P19" s="135">
        <f t="shared" si="7"/>
        <v>0.8333333333</v>
      </c>
      <c r="Q19" s="135">
        <f t="shared" si="7"/>
        <v>0.5833333333</v>
      </c>
      <c r="R19" s="135">
        <f t="shared" si="7"/>
        <v>0.5833333333</v>
      </c>
      <c r="T19" s="88" t="s">
        <v>27</v>
      </c>
      <c r="U19" s="44">
        <f t="shared" ref="U19:V19" si="8">COUNTIF(U9:U18,True)/COUNTA(U9:U18)</f>
        <v>0.6</v>
      </c>
      <c r="V19" s="45">
        <f t="shared" si="8"/>
        <v>0.7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X20" s="82" t="s">
        <v>32</v>
      </c>
      <c r="Y20" s="32" t="b">
        <v>0</v>
      </c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X21" s="85" t="s">
        <v>34</v>
      </c>
      <c r="Y21" s="32" t="b">
        <v>1</v>
      </c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0.4</v>
      </c>
      <c r="Z22" s="56"/>
    </row>
    <row r="23">
      <c r="A23" s="127"/>
      <c r="B23" s="139" t="s">
        <v>35</v>
      </c>
      <c r="C23" s="97">
        <f>R5+1</f>
        <v>44998</v>
      </c>
      <c r="D23" s="108">
        <f t="shared" ref="D23:I23" si="9">C23+1</f>
        <v>44999</v>
      </c>
      <c r="E23" s="108">
        <f t="shared" si="9"/>
        <v>45000</v>
      </c>
      <c r="F23" s="108">
        <f t="shared" si="9"/>
        <v>45001</v>
      </c>
      <c r="G23" s="108">
        <f t="shared" si="9"/>
        <v>45002</v>
      </c>
      <c r="H23" s="108">
        <f t="shared" si="9"/>
        <v>45003</v>
      </c>
      <c r="I23" s="111">
        <f t="shared" si="9"/>
        <v>45004</v>
      </c>
      <c r="J23" s="52"/>
      <c r="K23" s="110" t="s">
        <v>36</v>
      </c>
      <c r="L23" s="108">
        <f>I23+1</f>
        <v>45005</v>
      </c>
      <c r="M23" s="108">
        <f t="shared" ref="M23:R23" si="10">L23+1</f>
        <v>45006</v>
      </c>
      <c r="N23" s="108">
        <f t="shared" si="10"/>
        <v>45007</v>
      </c>
      <c r="O23" s="108">
        <f t="shared" si="10"/>
        <v>45008</v>
      </c>
      <c r="P23" s="108">
        <f t="shared" si="10"/>
        <v>45009</v>
      </c>
      <c r="Q23" s="108">
        <f t="shared" si="10"/>
        <v>45010</v>
      </c>
      <c r="R23" s="111">
        <f t="shared" si="10"/>
        <v>45011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0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0</v>
      </c>
      <c r="E25" s="27" t="b">
        <v>0</v>
      </c>
      <c r="F25" s="65" t="b">
        <v>0</v>
      </c>
      <c r="G25" s="27" t="b">
        <v>0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32" t="b">
        <v>0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32" t="b">
        <v>0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6" t="b">
        <v>1</v>
      </c>
      <c r="H27" s="26" t="b">
        <v>1</v>
      </c>
      <c r="I27" s="32" t="b">
        <v>1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1</v>
      </c>
      <c r="R27" s="32" t="b">
        <v>1</v>
      </c>
      <c r="T27" s="82" t="s">
        <v>12</v>
      </c>
      <c r="U27" s="26" t="b">
        <v>0</v>
      </c>
      <c r="V27" s="32" t="b">
        <v>0</v>
      </c>
    </row>
    <row r="28">
      <c r="A28" s="127"/>
      <c r="B28" s="82" t="str">
        <f t="shared" si="13"/>
        <v>Eat in</v>
      </c>
      <c r="C28" s="26" t="b">
        <v>1</v>
      </c>
      <c r="D28" s="26" t="b">
        <v>1</v>
      </c>
      <c r="E28" s="26" t="b">
        <v>0</v>
      </c>
      <c r="F28" s="26" t="b">
        <v>1</v>
      </c>
      <c r="G28" s="26" t="b">
        <v>0</v>
      </c>
      <c r="H28" s="26" t="b">
        <v>0</v>
      </c>
      <c r="I28" s="32" t="b">
        <v>1</v>
      </c>
      <c r="J28" s="30"/>
      <c r="K28" s="81" t="str">
        <f t="shared" si="14"/>
        <v>Eat in</v>
      </c>
      <c r="L28" s="26" t="b">
        <v>1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29" t="b">
        <v>0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1</v>
      </c>
      <c r="D29" s="26" t="b">
        <v>1</v>
      </c>
      <c r="E29" s="26" t="b">
        <v>1</v>
      </c>
      <c r="F29" s="26" t="b">
        <v>1</v>
      </c>
      <c r="G29" s="26" t="b">
        <v>1</v>
      </c>
      <c r="H29" s="26" t="b">
        <v>1</v>
      </c>
      <c r="I29" s="32" t="b">
        <v>1</v>
      </c>
      <c r="J29" s="30"/>
      <c r="K29" s="95" t="str">
        <f t="shared" si="14"/>
        <v>Review Budget/Goals</v>
      </c>
      <c r="L29" s="26" t="b">
        <v>1</v>
      </c>
      <c r="M29" s="26" t="b">
        <v>1</v>
      </c>
      <c r="N29" s="26" t="b">
        <v>0</v>
      </c>
      <c r="O29" s="26" t="b">
        <v>0</v>
      </c>
      <c r="P29" s="26" t="b">
        <v>0</v>
      </c>
      <c r="Q29" s="26" t="b">
        <v>0</v>
      </c>
      <c r="R29" s="29" t="b">
        <v>0</v>
      </c>
      <c r="T29" s="82" t="s">
        <v>16</v>
      </c>
      <c r="U29" s="26" t="b">
        <v>1</v>
      </c>
      <c r="V29" s="32" t="b">
        <v>0</v>
      </c>
    </row>
    <row r="30">
      <c r="A30" s="127"/>
      <c r="B30" s="82" t="str">
        <f t="shared" si="13"/>
        <v>(2x)Brush+(1x)Floss</v>
      </c>
      <c r="C30" s="26" t="b">
        <v>1</v>
      </c>
      <c r="D30" s="26" t="b">
        <v>1</v>
      </c>
      <c r="E30" s="26" t="b">
        <v>1</v>
      </c>
      <c r="F30" s="27" t="b">
        <v>0</v>
      </c>
      <c r="G30" s="27" t="b">
        <v>0</v>
      </c>
      <c r="H30" s="26" t="b">
        <v>0</v>
      </c>
      <c r="I30" s="32" t="b">
        <v>1</v>
      </c>
      <c r="J30" s="30"/>
      <c r="K30" s="81" t="str">
        <f t="shared" si="14"/>
        <v>(2x)Brush+(1x)Floss</v>
      </c>
      <c r="L30" s="26" t="b">
        <v>1</v>
      </c>
      <c r="M30" s="26" t="b">
        <v>0</v>
      </c>
      <c r="N30" s="26" t="b">
        <v>1</v>
      </c>
      <c r="O30" s="26" t="b">
        <v>1</v>
      </c>
      <c r="P30" s="26" t="b">
        <v>1</v>
      </c>
      <c r="Q30" s="26" t="b">
        <v>0</v>
      </c>
      <c r="R30" s="29" t="b">
        <v>0</v>
      </c>
      <c r="T30" s="82" t="s">
        <v>18</v>
      </c>
      <c r="U30" s="26" t="b">
        <v>1</v>
      </c>
      <c r="V30" s="32" t="b">
        <v>0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1</v>
      </c>
      <c r="F31" s="27" t="b">
        <v>0</v>
      </c>
      <c r="G31" s="26" t="b">
        <v>1</v>
      </c>
      <c r="H31" s="26" t="b">
        <v>0</v>
      </c>
      <c r="I31" s="32" t="b">
        <v>1</v>
      </c>
      <c r="J31" s="30"/>
      <c r="K31" s="81" t="str">
        <f t="shared" si="14"/>
        <v>Water (3L)</v>
      </c>
      <c r="L31" s="26" t="b">
        <v>1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0</v>
      </c>
      <c r="I32" s="32" t="b">
        <v>1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1</v>
      </c>
      <c r="O32" s="26" t="b">
        <v>0</v>
      </c>
      <c r="P32" s="26" t="b">
        <v>1</v>
      </c>
      <c r="Q32" s="26" t="b">
        <v>1</v>
      </c>
      <c r="R32" s="32" t="b">
        <v>0</v>
      </c>
      <c r="T32" s="82" t="s">
        <v>22</v>
      </c>
      <c r="U32" s="26" t="b">
        <v>0</v>
      </c>
      <c r="V32" s="32" t="b">
        <v>0</v>
      </c>
    </row>
    <row r="33">
      <c r="A33" s="127"/>
      <c r="B33" s="82" t="str">
        <f t="shared" si="13"/>
        <v>Clean (~20 min)</v>
      </c>
      <c r="C33" s="26" t="b">
        <v>1</v>
      </c>
      <c r="D33" s="26" t="b">
        <v>1</v>
      </c>
      <c r="E33" s="26" t="b">
        <v>1</v>
      </c>
      <c r="F33" s="27" t="b">
        <v>0</v>
      </c>
      <c r="G33" s="26" t="b">
        <v>0</v>
      </c>
      <c r="H33" s="26" t="b">
        <v>1</v>
      </c>
      <c r="I33" s="32" t="b">
        <v>1</v>
      </c>
      <c r="J33" s="30"/>
      <c r="K33" s="81" t="str">
        <f t="shared" si="14"/>
        <v>Clean (~20 min)</v>
      </c>
      <c r="L33" s="26" t="b">
        <v>1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29" t="b">
        <v>0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1</v>
      </c>
      <c r="D34" s="26" t="b">
        <v>1</v>
      </c>
      <c r="E34" s="26" t="b">
        <v>1</v>
      </c>
      <c r="F34" s="26" t="b">
        <v>1</v>
      </c>
      <c r="G34" s="26" t="b">
        <v>1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1</v>
      </c>
      <c r="M34" s="26" t="b">
        <v>1</v>
      </c>
      <c r="N34" s="26" t="b">
        <v>0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0.6</v>
      </c>
      <c r="V34" s="69">
        <f t="shared" si="15"/>
        <v>0.1</v>
      </c>
    </row>
    <row r="35">
      <c r="A35" s="133"/>
      <c r="B35" s="81" t="str">
        <f t="shared" si="13"/>
        <v>Vitamins</v>
      </c>
      <c r="C35" s="26" t="b">
        <v>0</v>
      </c>
      <c r="D35" s="26" t="b">
        <v>1</v>
      </c>
      <c r="E35" s="26" t="b">
        <v>1</v>
      </c>
      <c r="F35" s="27" t="b">
        <v>0</v>
      </c>
      <c r="G35" s="26" t="b">
        <v>0</v>
      </c>
      <c r="H35" s="26" t="b">
        <v>0</v>
      </c>
      <c r="I35" s="32" t="b">
        <v>1</v>
      </c>
      <c r="J35" s="30"/>
      <c r="K35" s="81" t="str">
        <f t="shared" si="14"/>
        <v>Vitamins</v>
      </c>
      <c r="L35" s="26" t="b">
        <v>1</v>
      </c>
      <c r="M35" s="26" t="b">
        <v>0</v>
      </c>
      <c r="N35" s="26" t="b">
        <v>1</v>
      </c>
      <c r="O35" s="26" t="b">
        <v>1</v>
      </c>
      <c r="P35" s="26" t="b">
        <v>0</v>
      </c>
      <c r="Q35" s="26" t="b">
        <v>0</v>
      </c>
      <c r="R35" s="29" t="b">
        <v>0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9" t="str">
        <f>IFERROR(__xludf.DUMMYFUNCTION("SPARKLINE(V34,{""charttype"",""bar"";""max"",1;""min"",0;""color1"",IF(V34&gt;0.7,""green"",IF(V34&gt;0.5,""yellow"",""red""))})"),"")</f>
        <v/>
      </c>
    </row>
    <row r="36">
      <c r="A36" s="133"/>
      <c r="B36" s="86" t="str">
        <f t="shared" si="13"/>
        <v>Duolingo</v>
      </c>
      <c r="C36" s="38" t="b">
        <v>1</v>
      </c>
      <c r="D36" s="38" t="b">
        <v>1</v>
      </c>
      <c r="E36" s="38" t="b">
        <v>1</v>
      </c>
      <c r="F36" s="38" t="b">
        <v>0</v>
      </c>
      <c r="G36" s="38" t="b">
        <v>1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1</v>
      </c>
      <c r="M36" s="26" t="b">
        <v>0</v>
      </c>
      <c r="N36" s="26" t="b">
        <v>1</v>
      </c>
      <c r="O36" s="26" t="b">
        <v>1</v>
      </c>
      <c r="P36" s="26" t="b">
        <v>0</v>
      </c>
      <c r="Q36" s="26" t="b">
        <v>1</v>
      </c>
      <c r="R36" s="32" t="b">
        <v>1</v>
      </c>
      <c r="T36" s="90" t="s">
        <v>29</v>
      </c>
      <c r="U36" s="49" t="str">
        <f>IFERROR(__xludf.DUMMYFUNCTION("SPARKLINE((U34+V34)/2,{""charttype"",""bar"";""max"",1;""min"",0;""color1"",IF((U34+V34)/2&gt;0.7,""green"",IF((U34+V34)/2&gt;0.5,""yellow"",""red""))})"),"")</f>
        <v/>
      </c>
      <c r="V36" s="41"/>
    </row>
    <row r="37">
      <c r="A37" s="127"/>
      <c r="B37" s="88" t="s">
        <v>27</v>
      </c>
      <c r="C37" s="44">
        <f t="shared" ref="C37:I37" si="16">COUNTIF(C25:C36,True)/COUNTA(C25:C36)</f>
        <v>0.6666666667</v>
      </c>
      <c r="D37" s="44">
        <f t="shared" si="16"/>
        <v>0.75</v>
      </c>
      <c r="E37" s="44">
        <f t="shared" si="16"/>
        <v>0.75</v>
      </c>
      <c r="F37" s="44">
        <f t="shared" si="16"/>
        <v>0.4166666667</v>
      </c>
      <c r="G37" s="44">
        <f t="shared" si="16"/>
        <v>0.5</v>
      </c>
      <c r="H37" s="44">
        <f t="shared" si="16"/>
        <v>0.25</v>
      </c>
      <c r="I37" s="45">
        <f t="shared" si="16"/>
        <v>0.6666666667</v>
      </c>
      <c r="J37" s="21"/>
      <c r="K37" s="134" t="s">
        <v>27</v>
      </c>
      <c r="L37" s="135">
        <f t="shared" ref="L37:R37" si="17">COUNTIF(L25:L35,True)/COUNTA(L25:L35)</f>
        <v>0.8181818182</v>
      </c>
      <c r="M37" s="135">
        <f t="shared" si="17"/>
        <v>0.3636363636</v>
      </c>
      <c r="N37" s="135">
        <f t="shared" si="17"/>
        <v>0.3636363636</v>
      </c>
      <c r="O37" s="135">
        <f t="shared" si="17"/>
        <v>0.2727272727</v>
      </c>
      <c r="P37" s="135">
        <f t="shared" si="17"/>
        <v>0.2727272727</v>
      </c>
      <c r="Q37" s="135">
        <f t="shared" si="17"/>
        <v>0.1818181818</v>
      </c>
      <c r="R37" s="92">
        <f t="shared" si="17"/>
        <v>0.09090909091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9">
    <mergeCell ref="C39:I39"/>
    <mergeCell ref="L39:R39"/>
    <mergeCell ref="D2:R3"/>
    <mergeCell ref="S2:S3"/>
    <mergeCell ref="X16:Y16"/>
    <mergeCell ref="C21:I21"/>
    <mergeCell ref="L21:R21"/>
    <mergeCell ref="U21:V21"/>
    <mergeCell ref="U36:V3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0.5043801653</v>
      </c>
    </row>
    <row r="3">
      <c r="A3" s="120"/>
      <c r="B3" s="8">
        <v>45017.0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278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March2023!X9</f>
        <v>1173</v>
      </c>
    </row>
    <row r="5">
      <c r="A5" s="124"/>
      <c r="B5" s="96" t="s">
        <v>1</v>
      </c>
      <c r="C5" s="97">
        <f>March2023!R23+1</f>
        <v>45012</v>
      </c>
      <c r="D5" s="98">
        <f t="shared" ref="D5:I5" si="1">C5+1</f>
        <v>45013</v>
      </c>
      <c r="E5" s="98">
        <f t="shared" si="1"/>
        <v>45014</v>
      </c>
      <c r="F5" s="98">
        <f t="shared" si="1"/>
        <v>45015</v>
      </c>
      <c r="G5" s="98">
        <f t="shared" si="1"/>
        <v>45016</v>
      </c>
      <c r="H5" s="98">
        <f t="shared" si="1"/>
        <v>45017</v>
      </c>
      <c r="I5" s="125">
        <f t="shared" si="1"/>
        <v>45018</v>
      </c>
      <c r="J5" s="17"/>
      <c r="K5" s="126" t="s">
        <v>2</v>
      </c>
      <c r="L5" s="98">
        <f>I5+1</f>
        <v>45019</v>
      </c>
      <c r="M5" s="98">
        <f t="shared" ref="M5:R5" si="2">L5+1</f>
        <v>45020</v>
      </c>
      <c r="N5" s="98">
        <f t="shared" si="2"/>
        <v>45021</v>
      </c>
      <c r="O5" s="98">
        <f t="shared" si="2"/>
        <v>45022</v>
      </c>
      <c r="P5" s="98">
        <f t="shared" si="2"/>
        <v>45023</v>
      </c>
      <c r="Q5" s="98">
        <f t="shared" si="2"/>
        <v>45024</v>
      </c>
      <c r="R5" s="125">
        <f t="shared" si="2"/>
        <v>45025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0</v>
      </c>
      <c r="F7" s="28" t="b">
        <v>1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1</v>
      </c>
      <c r="M7" s="26" t="b">
        <v>1</v>
      </c>
      <c r="N7" s="26" t="b">
        <v>1</v>
      </c>
      <c r="O7" s="26" t="b">
        <v>1</v>
      </c>
      <c r="P7" s="26" t="b">
        <v>0</v>
      </c>
      <c r="Q7" s="26" t="b">
        <v>0</v>
      </c>
      <c r="R7" s="32" t="b"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45040</v>
      </c>
      <c r="AA8" s="108">
        <f t="shared" ref="AA8:AF8" si="6">Z8+1</f>
        <v>45041</v>
      </c>
      <c r="AB8" s="108">
        <f t="shared" si="6"/>
        <v>45042</v>
      </c>
      <c r="AC8" s="108">
        <f t="shared" si="6"/>
        <v>45043</v>
      </c>
      <c r="AD8" s="108">
        <f t="shared" si="6"/>
        <v>45044</v>
      </c>
      <c r="AE8" s="108">
        <f t="shared" si="6"/>
        <v>45045</v>
      </c>
      <c r="AF8" s="111">
        <f t="shared" si="6"/>
        <v>45046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0</v>
      </c>
      <c r="N9" s="26" t="b">
        <v>1</v>
      </c>
      <c r="O9" s="26" t="b">
        <v>0</v>
      </c>
      <c r="P9" s="26" t="b">
        <v>1</v>
      </c>
      <c r="Q9" s="26" t="b">
        <v>0</v>
      </c>
      <c r="R9" s="32" t="b">
        <v>1</v>
      </c>
      <c r="T9" s="82" t="s">
        <v>6</v>
      </c>
      <c r="U9" s="26" t="b">
        <v>1</v>
      </c>
      <c r="V9" s="32" t="b">
        <v>1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0</v>
      </c>
      <c r="D10" s="26" t="b">
        <v>1</v>
      </c>
      <c r="E10" s="26" t="b">
        <v>1</v>
      </c>
      <c r="F10" s="26" t="b">
        <v>1</v>
      </c>
      <c r="G10" s="26" t="b">
        <v>1</v>
      </c>
      <c r="H10" s="26" t="b">
        <v>1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0</v>
      </c>
      <c r="N10" s="26" t="b">
        <v>1</v>
      </c>
      <c r="O10" s="26" t="b">
        <v>1</v>
      </c>
      <c r="P10" s="26" t="b">
        <v>1</v>
      </c>
      <c r="Q10" s="26" t="b">
        <v>0</v>
      </c>
      <c r="R10" s="32" t="b">
        <v>1</v>
      </c>
      <c r="T10" s="82" t="s">
        <v>8</v>
      </c>
      <c r="U10" s="26" t="b">
        <v>1</v>
      </c>
      <c r="V10" s="32" t="b">
        <v>1</v>
      </c>
      <c r="Y10" s="81" t="str">
        <f t="shared" ref="Y10:Y20" si="8">K7</f>
        <v>Exercise</v>
      </c>
      <c r="Z10" s="26" t="b">
        <v>0</v>
      </c>
      <c r="AA10" s="26" t="b">
        <v>0</v>
      </c>
      <c r="AB10" s="26" t="b">
        <v>1</v>
      </c>
      <c r="AC10" s="26" t="b">
        <v>0</v>
      </c>
      <c r="AD10" s="26" t="b">
        <v>0</v>
      </c>
      <c r="AE10" s="26" t="b">
        <v>0</v>
      </c>
      <c r="AF10" s="29" t="b">
        <v>0</v>
      </c>
      <c r="AG10" s="133"/>
    </row>
    <row r="11">
      <c r="A11" s="132"/>
      <c r="B11" s="95" t="s">
        <v>13</v>
      </c>
      <c r="C11" s="26" t="b">
        <v>0</v>
      </c>
      <c r="D11" s="26" t="b">
        <v>1</v>
      </c>
      <c r="E11" s="26" t="b">
        <v>1</v>
      </c>
      <c r="F11" s="26" t="b">
        <v>1</v>
      </c>
      <c r="G11" s="26" t="b">
        <v>1</v>
      </c>
      <c r="H11" s="26" t="b">
        <v>1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1</v>
      </c>
      <c r="O11" s="26" t="b">
        <v>0</v>
      </c>
      <c r="P11" s="26" t="b">
        <v>1</v>
      </c>
      <c r="Q11" s="26" t="b">
        <v>1</v>
      </c>
      <c r="R11" s="32" t="b">
        <v>0</v>
      </c>
      <c r="T11" s="82" t="s">
        <v>10</v>
      </c>
      <c r="U11" s="26" t="b">
        <v>1</v>
      </c>
      <c r="V11" s="32" t="b">
        <v>0</v>
      </c>
      <c r="Y11" s="81" t="str">
        <f t="shared" si="8"/>
        <v>Stretch/Yoga (&gt;20min)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29" t="b">
        <v>0</v>
      </c>
      <c r="AG11" s="133"/>
    </row>
    <row r="12">
      <c r="A12" s="127"/>
      <c r="B12" s="82" t="s">
        <v>37</v>
      </c>
      <c r="C12" s="26" t="b">
        <v>0</v>
      </c>
      <c r="D12" s="26" t="b">
        <v>1</v>
      </c>
      <c r="E12" s="26" t="b">
        <v>0</v>
      </c>
      <c r="F12" s="26" t="b">
        <v>1</v>
      </c>
      <c r="G12" s="26" t="b">
        <v>1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0</v>
      </c>
      <c r="N12" s="26" t="b">
        <v>1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0</v>
      </c>
      <c r="Y12" s="81" t="str">
        <f t="shared" si="8"/>
        <v>Social Media (&lt;limit)</v>
      </c>
      <c r="Z12" s="26" t="b">
        <v>0</v>
      </c>
      <c r="AA12" s="26" t="b">
        <v>0</v>
      </c>
      <c r="AB12" s="26" t="b">
        <v>1</v>
      </c>
      <c r="AC12" s="26" t="b">
        <v>1</v>
      </c>
      <c r="AD12" s="26" t="b">
        <v>0</v>
      </c>
      <c r="AE12" s="26" t="b">
        <v>1</v>
      </c>
      <c r="AF12" s="32" t="b">
        <v>1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1</v>
      </c>
      <c r="F13" s="26" t="b">
        <v>1</v>
      </c>
      <c r="G13" s="26" t="b">
        <v>1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1</v>
      </c>
      <c r="M13" s="26" t="b">
        <v>1</v>
      </c>
      <c r="N13" s="26" t="b">
        <v>1</v>
      </c>
      <c r="O13" s="26" t="b">
        <v>1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  <c r="Y13" s="81" t="str">
        <f t="shared" si="8"/>
        <v>Eat in</v>
      </c>
      <c r="Z13" s="26" t="b">
        <v>0</v>
      </c>
      <c r="AA13" s="26" t="b">
        <v>0</v>
      </c>
      <c r="AB13" s="26" t="b">
        <v>0</v>
      </c>
      <c r="AC13" s="26" t="b">
        <v>0</v>
      </c>
      <c r="AD13" s="26" t="b">
        <v>1</v>
      </c>
      <c r="AE13" s="26" t="b">
        <v>0</v>
      </c>
      <c r="AF13" s="29" t="b">
        <v>0</v>
      </c>
      <c r="AG13" s="133"/>
    </row>
    <row r="14">
      <c r="A14" s="128"/>
      <c r="B14" s="79" t="s">
        <v>19</v>
      </c>
      <c r="C14" s="26" t="b">
        <v>1</v>
      </c>
      <c r="D14" s="26" t="b">
        <v>1</v>
      </c>
      <c r="E14" s="26" t="b">
        <v>1</v>
      </c>
      <c r="F14" s="26" t="b">
        <v>0</v>
      </c>
      <c r="G14" s="26" t="b">
        <v>1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1</v>
      </c>
      <c r="P14" s="26" t="b">
        <v>1</v>
      </c>
      <c r="Q14" s="26" t="b">
        <v>1</v>
      </c>
      <c r="R14" s="32" t="b">
        <v>1</v>
      </c>
      <c r="T14" s="82" t="s">
        <v>16</v>
      </c>
      <c r="U14" s="26" t="b">
        <v>1</v>
      </c>
      <c r="V14" s="32" t="b">
        <v>1</v>
      </c>
      <c r="Y14" s="95" t="str">
        <f t="shared" si="8"/>
        <v>Review Budget/Goals</v>
      </c>
      <c r="Z14" s="26" t="b">
        <v>0</v>
      </c>
      <c r="AA14" s="26" t="b">
        <v>1</v>
      </c>
      <c r="AB14" s="26" t="b">
        <v>1</v>
      </c>
      <c r="AC14" s="26" t="b">
        <v>0</v>
      </c>
      <c r="AD14" s="26" t="b">
        <v>1</v>
      </c>
      <c r="AE14" s="26" t="b">
        <v>0</v>
      </c>
      <c r="AF14" s="32" t="b">
        <v>1</v>
      </c>
      <c r="AG14" s="133"/>
    </row>
    <row r="15">
      <c r="A15" s="128"/>
      <c r="B15" s="79" t="s">
        <v>21</v>
      </c>
      <c r="C15" s="26" t="b">
        <v>0</v>
      </c>
      <c r="D15" s="26" t="b">
        <v>0</v>
      </c>
      <c r="E15" s="26" t="b">
        <v>1</v>
      </c>
      <c r="F15" s="26" t="b">
        <v>0</v>
      </c>
      <c r="G15" s="26" t="b">
        <v>1</v>
      </c>
      <c r="H15" s="26" t="b">
        <v>1</v>
      </c>
      <c r="I15" s="32" t="b">
        <v>1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1</v>
      </c>
      <c r="Q15" s="26" t="b">
        <v>1</v>
      </c>
      <c r="R15" s="32" t="b">
        <v>1</v>
      </c>
      <c r="T15" s="82" t="s">
        <v>18</v>
      </c>
      <c r="U15" s="26" t="b">
        <v>1</v>
      </c>
      <c r="V15" s="32" t="b">
        <v>1</v>
      </c>
      <c r="Y15" s="81" t="str">
        <f t="shared" si="8"/>
        <v>(2x)Brush+(1x)Floss</v>
      </c>
      <c r="Z15" s="26" t="b">
        <v>0</v>
      </c>
      <c r="AA15" s="26" t="b">
        <v>0</v>
      </c>
      <c r="AB15" s="26" t="b">
        <v>1</v>
      </c>
      <c r="AC15" s="26" t="b">
        <v>1</v>
      </c>
      <c r="AD15" s="26" t="b">
        <v>0</v>
      </c>
      <c r="AE15" s="26" t="b">
        <v>1</v>
      </c>
      <c r="AF15" s="32" t="b">
        <v>1</v>
      </c>
      <c r="AG15" s="133"/>
    </row>
    <row r="16">
      <c r="A16" s="128"/>
      <c r="B16" s="79" t="s">
        <v>23</v>
      </c>
      <c r="C16" s="26" t="b">
        <v>0</v>
      </c>
      <c r="D16" s="26" t="b">
        <v>1</v>
      </c>
      <c r="E16" s="26" t="b">
        <v>1</v>
      </c>
      <c r="F16" s="26" t="b">
        <v>1</v>
      </c>
      <c r="G16" s="26" t="b">
        <v>1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1</v>
      </c>
      <c r="M16" s="26" t="b">
        <v>1</v>
      </c>
      <c r="N16" s="26" t="b">
        <v>1</v>
      </c>
      <c r="O16" s="26" t="b">
        <v>1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0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0</v>
      </c>
      <c r="D17" s="26" t="b">
        <v>1</v>
      </c>
      <c r="E17" s="26" t="b">
        <v>1</v>
      </c>
      <c r="F17" s="26" t="b">
        <v>1</v>
      </c>
      <c r="G17" s="26" t="b">
        <v>0</v>
      </c>
      <c r="H17" s="26" t="b">
        <v>0</v>
      </c>
      <c r="I17" s="32" t="b">
        <v>1</v>
      </c>
      <c r="J17" s="30"/>
      <c r="K17" s="81" t="str">
        <f t="shared" si="5"/>
        <v>Vitamins</v>
      </c>
      <c r="L17" s="26" t="b">
        <v>1</v>
      </c>
      <c r="M17" s="26" t="b">
        <v>0</v>
      </c>
      <c r="N17" s="26" t="b">
        <v>1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0</v>
      </c>
      <c r="V17" s="32" t="b">
        <v>1</v>
      </c>
      <c r="Y17" s="81" t="str">
        <f t="shared" si="8"/>
        <v>7 hours sleep</v>
      </c>
      <c r="Z17" s="26" t="b">
        <v>1</v>
      </c>
      <c r="AA17" s="26" t="b">
        <v>1</v>
      </c>
      <c r="AB17" s="26" t="b">
        <v>1</v>
      </c>
      <c r="AC17" s="26" t="b">
        <v>1</v>
      </c>
      <c r="AD17" s="26" t="b">
        <v>1</v>
      </c>
      <c r="AE17" s="26" t="b">
        <v>0</v>
      </c>
      <c r="AF17" s="32" t="b">
        <v>1</v>
      </c>
      <c r="AG17" s="133"/>
    </row>
    <row r="18">
      <c r="A18" s="133"/>
      <c r="B18" s="86" t="s">
        <v>46</v>
      </c>
      <c r="C18" s="38" t="b">
        <v>1</v>
      </c>
      <c r="D18" s="38" t="b">
        <v>1</v>
      </c>
      <c r="E18" s="38" t="b">
        <v>1</v>
      </c>
      <c r="F18" s="38" t="b">
        <v>0</v>
      </c>
      <c r="G18" s="38" t="b">
        <v>1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1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Y18" s="81" t="str">
        <f t="shared" si="8"/>
        <v>Clean (~20 min)</v>
      </c>
      <c r="Z18" s="26" t="b">
        <v>0</v>
      </c>
      <c r="AA18" s="26" t="b">
        <v>0</v>
      </c>
      <c r="AB18" s="26" t="b">
        <v>0</v>
      </c>
      <c r="AC18" s="26" t="b">
        <v>0</v>
      </c>
      <c r="AD18" s="26" t="b">
        <v>1</v>
      </c>
      <c r="AE18" s="26" t="b">
        <v>0</v>
      </c>
      <c r="AF18" s="32" t="b">
        <v>1</v>
      </c>
      <c r="AG18" s="133"/>
    </row>
    <row r="19">
      <c r="A19" s="127"/>
      <c r="B19" s="88" t="s">
        <v>27</v>
      </c>
      <c r="C19" s="44">
        <f t="shared" ref="C19:I19" si="9">COUNTIF(C7:C18,True)/COUNTA(C7:C18)</f>
        <v>0.25</v>
      </c>
      <c r="D19" s="44">
        <f t="shared" si="9"/>
        <v>0.6666666667</v>
      </c>
      <c r="E19" s="44">
        <f t="shared" si="9"/>
        <v>0.75</v>
      </c>
      <c r="F19" s="44">
        <f t="shared" si="9"/>
        <v>0.6666666667</v>
      </c>
      <c r="G19" s="44">
        <f t="shared" si="9"/>
        <v>0.75</v>
      </c>
      <c r="H19" s="44">
        <f t="shared" si="9"/>
        <v>0.4166666667</v>
      </c>
      <c r="I19" s="45">
        <f t="shared" si="9"/>
        <v>0.5</v>
      </c>
      <c r="J19" s="21"/>
      <c r="K19" s="134" t="s">
        <v>27</v>
      </c>
      <c r="L19" s="135">
        <f t="shared" ref="L19:R19" si="10">COUNTIF(L7:L18,True)/COUNTA(L7:L18)</f>
        <v>0.75</v>
      </c>
      <c r="M19" s="135">
        <f t="shared" si="10"/>
        <v>0.4166666667</v>
      </c>
      <c r="N19" s="135">
        <f t="shared" si="10"/>
        <v>0.8333333333</v>
      </c>
      <c r="O19" s="135">
        <f t="shared" si="10"/>
        <v>0.4166666667</v>
      </c>
      <c r="P19" s="135">
        <f t="shared" si="10"/>
        <v>0.4166666667</v>
      </c>
      <c r="Q19" s="135">
        <f t="shared" si="10"/>
        <v>0.25</v>
      </c>
      <c r="R19" s="135">
        <f t="shared" si="10"/>
        <v>0.3333333333</v>
      </c>
      <c r="T19" s="88" t="s">
        <v>27</v>
      </c>
      <c r="U19" s="44">
        <f t="shared" ref="U19:V19" si="11">COUNTIF(U9:U18,True)/COUNTA(U9:U18)</f>
        <v>0.7</v>
      </c>
      <c r="V19" s="45">
        <f t="shared" si="11"/>
        <v>0.5</v>
      </c>
      <c r="Y19" s="81" t="str">
        <f t="shared" si="8"/>
        <v>Read (~20 min)</v>
      </c>
      <c r="Z19" s="26" t="b">
        <v>1</v>
      </c>
      <c r="AA19" s="26" t="b">
        <v>0</v>
      </c>
      <c r="AB19" s="26" t="b">
        <v>1</v>
      </c>
      <c r="AC19" s="26" t="b">
        <v>1</v>
      </c>
      <c r="AD19" s="26" t="b">
        <v>0</v>
      </c>
      <c r="AE19" s="26" t="b">
        <v>0</v>
      </c>
      <c r="AF19" s="29" t="b">
        <v>0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0</v>
      </c>
      <c r="AA20" s="26" t="b">
        <v>0</v>
      </c>
      <c r="AB20" s="26" t="b">
        <v>1</v>
      </c>
      <c r="AC20" s="26" t="b">
        <v>1</v>
      </c>
      <c r="AD20" s="26" t="b">
        <v>0</v>
      </c>
      <c r="AE20" s="26" t="b">
        <v>1</v>
      </c>
      <c r="AF20" s="32" t="b">
        <v>1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1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COUNTIF(Z10:Z20,True)/COUNTA(Z10:Z20)</f>
        <v>0.1818181818</v>
      </c>
      <c r="AA22" s="135">
        <f t="shared" si="12"/>
        <v>0.1818181818</v>
      </c>
      <c r="AB22" s="135">
        <f t="shared" si="12"/>
        <v>0.6363636364</v>
      </c>
      <c r="AC22" s="135">
        <f t="shared" si="12"/>
        <v>0.4545454545</v>
      </c>
      <c r="AD22" s="135">
        <f t="shared" si="12"/>
        <v>0.3636363636</v>
      </c>
      <c r="AE22" s="135">
        <f t="shared" si="12"/>
        <v>0.2727272727</v>
      </c>
      <c r="AF22" s="92">
        <f t="shared" si="12"/>
        <v>0.5454545455</v>
      </c>
      <c r="AG22" s="71"/>
    </row>
    <row r="23">
      <c r="A23" s="127"/>
      <c r="B23" s="139" t="s">
        <v>35</v>
      </c>
      <c r="C23" s="97">
        <f>R5+1</f>
        <v>45026</v>
      </c>
      <c r="D23" s="108">
        <f t="shared" ref="D23:I23" si="13">C23+1</f>
        <v>45027</v>
      </c>
      <c r="E23" s="108">
        <f t="shared" si="13"/>
        <v>45028</v>
      </c>
      <c r="F23" s="108">
        <f t="shared" si="13"/>
        <v>45029</v>
      </c>
      <c r="G23" s="108">
        <f t="shared" si="13"/>
        <v>45030</v>
      </c>
      <c r="H23" s="108">
        <f t="shared" si="13"/>
        <v>45031</v>
      </c>
      <c r="I23" s="111">
        <f t="shared" si="13"/>
        <v>45032</v>
      </c>
      <c r="J23" s="52"/>
      <c r="K23" s="110" t="s">
        <v>36</v>
      </c>
      <c r="L23" s="108">
        <f>I23+1</f>
        <v>45033</v>
      </c>
      <c r="M23" s="108">
        <f t="shared" ref="M23:R23" si="14">L23+1</f>
        <v>45034</v>
      </c>
      <c r="N23" s="108">
        <f t="shared" si="14"/>
        <v>45035</v>
      </c>
      <c r="O23" s="108">
        <f t="shared" si="14"/>
        <v>45036</v>
      </c>
      <c r="P23" s="108">
        <f t="shared" si="14"/>
        <v>45037</v>
      </c>
      <c r="Q23" s="108">
        <f t="shared" si="14"/>
        <v>45038</v>
      </c>
      <c r="R23" s="111">
        <f t="shared" si="14"/>
        <v>45039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1</v>
      </c>
      <c r="V24" s="26" t="b">
        <v>1</v>
      </c>
      <c r="W24" s="32" t="b">
        <v>1</v>
      </c>
      <c r="Y24" s="90" t="s">
        <v>48</v>
      </c>
      <c r="Z24" s="53" t="str">
        <f>IFERROR(__xludf.DUMMYFUNCTION("SPARKLINE((SUM(Z22:AF22)+3*AR20)/10,{""charttype"",""bar"";""max"",1;""min"",0;""color1"",IF((SUM(Z22:AF22)+3*AR20)/10&gt;0.7,""green"",IF((SUM(Z22:AF22)+3*AR20)/10&gt;0.5,""yellow"",""red""))})"),"")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0</v>
      </c>
      <c r="D25" s="26" t="b">
        <v>0</v>
      </c>
      <c r="E25" s="26" t="b">
        <v>1</v>
      </c>
      <c r="F25" s="28" t="b">
        <v>1</v>
      </c>
      <c r="G25" s="27" t="b">
        <v>0</v>
      </c>
      <c r="H25" s="26" t="b">
        <v>0</v>
      </c>
      <c r="I25" s="29" t="b">
        <v>0</v>
      </c>
      <c r="J25" s="30"/>
      <c r="K25" s="81" t="str">
        <f t="shared" ref="K25:K35" si="18">B7</f>
        <v>Exercise</v>
      </c>
      <c r="L25" s="26" t="b">
        <v>1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26" t="b">
        <v>1</v>
      </c>
      <c r="W25" s="32" t="b">
        <v>0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1</v>
      </c>
      <c r="J26" s="30"/>
      <c r="K26" s="81" t="str">
        <f t="shared" si="18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26" t="b">
        <v>1</v>
      </c>
      <c r="W26" s="32" t="b">
        <v>0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1</v>
      </c>
      <c r="D27" s="26" t="b">
        <v>0</v>
      </c>
      <c r="E27" s="26" t="b">
        <v>1</v>
      </c>
      <c r="F27" s="28" t="b">
        <v>1</v>
      </c>
      <c r="G27" s="26" t="b">
        <v>0</v>
      </c>
      <c r="H27" s="26" t="b">
        <v>1</v>
      </c>
      <c r="I27" s="32" t="b">
        <v>0</v>
      </c>
      <c r="J27" s="30"/>
      <c r="K27" s="81" t="str">
        <f t="shared" si="18"/>
        <v>Social Media (&lt;limit)</v>
      </c>
      <c r="L27" s="26" t="b">
        <v>0</v>
      </c>
      <c r="M27" s="26" t="b">
        <v>0</v>
      </c>
      <c r="N27" s="26" t="b">
        <v>0</v>
      </c>
      <c r="O27" s="26" t="b">
        <v>1</v>
      </c>
      <c r="P27" s="26" t="b">
        <v>1</v>
      </c>
      <c r="Q27" s="26" t="b">
        <v>1</v>
      </c>
      <c r="R27" s="29" t="b">
        <v>0</v>
      </c>
      <c r="T27" s="82" t="s">
        <v>12</v>
      </c>
      <c r="U27" s="26" t="b">
        <v>0</v>
      </c>
      <c r="V27" s="26" t="b">
        <v>0</v>
      </c>
      <c r="W27" s="32" t="b">
        <v>0</v>
      </c>
      <c r="Y27" s="82" t="s">
        <v>28</v>
      </c>
      <c r="Z27" s="32" t="b">
        <v>1</v>
      </c>
      <c r="AF27" s="133"/>
      <c r="AG27" s="133"/>
    </row>
    <row r="28">
      <c r="A28" s="127"/>
      <c r="B28" s="82" t="str">
        <f t="shared" si="17"/>
        <v>Eat in</v>
      </c>
      <c r="C28" s="26" t="b">
        <v>1</v>
      </c>
      <c r="D28" s="26" t="b">
        <v>1</v>
      </c>
      <c r="E28" s="26" t="b">
        <v>0</v>
      </c>
      <c r="F28" s="27" t="b">
        <v>0</v>
      </c>
      <c r="G28" s="26" t="b">
        <v>1</v>
      </c>
      <c r="H28" s="26" t="b">
        <v>1</v>
      </c>
      <c r="I28" s="29" t="b">
        <v>0</v>
      </c>
      <c r="J28" s="30"/>
      <c r="K28" s="81" t="str">
        <f t="shared" si="18"/>
        <v>Eat in</v>
      </c>
      <c r="L28" s="26" t="b">
        <v>0</v>
      </c>
      <c r="M28" s="26" t="b">
        <v>0</v>
      </c>
      <c r="N28" s="26" t="b">
        <v>1</v>
      </c>
      <c r="O28" s="26" t="b">
        <v>0</v>
      </c>
      <c r="P28" s="26" t="b">
        <v>0</v>
      </c>
      <c r="Q28" s="26" t="b">
        <v>0</v>
      </c>
      <c r="R28" s="29" t="b">
        <v>0</v>
      </c>
      <c r="T28" s="82" t="s">
        <v>14</v>
      </c>
      <c r="U28" s="26" t="b">
        <v>0</v>
      </c>
      <c r="V28" s="26" t="b">
        <v>0</v>
      </c>
      <c r="W28" s="32" t="b">
        <v>0</v>
      </c>
      <c r="Y28" s="82" t="s">
        <v>47</v>
      </c>
      <c r="Z28" s="32" t="b">
        <v>1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0</v>
      </c>
      <c r="D29" s="26" t="b">
        <v>0</v>
      </c>
      <c r="E29" s="26" t="b">
        <v>1</v>
      </c>
      <c r="F29" s="27" t="b">
        <v>0</v>
      </c>
      <c r="G29" s="26" t="b">
        <v>1</v>
      </c>
      <c r="H29" s="26" t="b">
        <v>1</v>
      </c>
      <c r="I29" s="32" t="b">
        <v>1</v>
      </c>
      <c r="J29" s="30"/>
      <c r="K29" s="95" t="str">
        <f t="shared" si="18"/>
        <v>Review Budget/Goals</v>
      </c>
      <c r="L29" s="26" t="b">
        <v>1</v>
      </c>
      <c r="M29" s="26" t="b">
        <v>0</v>
      </c>
      <c r="N29" s="26" t="b">
        <v>0</v>
      </c>
      <c r="O29" s="26" t="b">
        <v>0</v>
      </c>
      <c r="P29" s="26" t="b">
        <v>1</v>
      </c>
      <c r="Q29" s="26" t="b">
        <v>0</v>
      </c>
      <c r="R29" s="29" t="b">
        <v>0</v>
      </c>
      <c r="T29" s="82" t="s">
        <v>16</v>
      </c>
      <c r="U29" s="26" t="b">
        <v>1</v>
      </c>
      <c r="V29" s="26" t="b">
        <v>0</v>
      </c>
      <c r="W29" s="32" t="b">
        <v>1</v>
      </c>
      <c r="Y29" s="82" t="s">
        <v>30</v>
      </c>
      <c r="Z29" s="32" t="b">
        <v>1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0</v>
      </c>
      <c r="D30" s="26" t="b">
        <v>1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8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26" t="b">
        <v>1</v>
      </c>
      <c r="W30" s="32" t="b">
        <v>1</v>
      </c>
      <c r="Y30" s="82" t="s">
        <v>32</v>
      </c>
      <c r="Z30" s="32" t="b">
        <v>1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0</v>
      </c>
      <c r="E31" s="26" t="b">
        <v>0</v>
      </c>
      <c r="F31" s="26" t="b">
        <v>1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1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0</v>
      </c>
      <c r="V31" s="26" t="b">
        <v>1</v>
      </c>
      <c r="W31" s="32" t="b">
        <v>0</v>
      </c>
      <c r="Y31" s="85" t="s">
        <v>34</v>
      </c>
      <c r="Z31" s="32" t="b">
        <v>1</v>
      </c>
      <c r="AF31" s="145"/>
      <c r="AG31" s="145"/>
    </row>
    <row r="32">
      <c r="A32" s="127"/>
      <c r="B32" s="82" t="str">
        <f t="shared" si="17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1</v>
      </c>
      <c r="J32" s="30"/>
      <c r="K32" s="81" t="str">
        <f t="shared" si="18"/>
        <v>7 hours sleep</v>
      </c>
      <c r="L32" s="26" t="b">
        <v>1</v>
      </c>
      <c r="M32" s="26" t="b">
        <v>1</v>
      </c>
      <c r="N32" s="26" t="b">
        <v>0</v>
      </c>
      <c r="O32" s="26" t="b">
        <v>0</v>
      </c>
      <c r="P32" s="26" t="b">
        <v>1</v>
      </c>
      <c r="Q32" s="26" t="b">
        <v>0</v>
      </c>
      <c r="R32" s="32" t="b">
        <v>1</v>
      </c>
      <c r="T32" s="82" t="s">
        <v>22</v>
      </c>
      <c r="U32" s="26" t="b">
        <v>1</v>
      </c>
      <c r="V32" s="26" t="b">
        <v>1</v>
      </c>
      <c r="W32" s="32" t="b">
        <v>1</v>
      </c>
      <c r="Y32" s="91" t="s">
        <v>27</v>
      </c>
      <c r="Z32" s="92">
        <f>COUNTIF(Z27:Z31,True)/COUNTA(Z27:Z31)</f>
        <v>1</v>
      </c>
      <c r="AF32" s="71"/>
      <c r="AG32" s="71"/>
    </row>
    <row r="33">
      <c r="A33" s="127"/>
      <c r="B33" s="82" t="str">
        <f t="shared" si="17"/>
        <v>Clean (~20 min)</v>
      </c>
      <c r="C33" s="26" t="b">
        <v>0</v>
      </c>
      <c r="D33" s="26" t="b">
        <v>0</v>
      </c>
      <c r="E33" s="26" t="b">
        <v>0</v>
      </c>
      <c r="F33" s="27" t="b">
        <v>0</v>
      </c>
      <c r="G33" s="26" t="b">
        <v>1</v>
      </c>
      <c r="H33" s="26" t="b">
        <v>1</v>
      </c>
      <c r="I33" s="32" t="b">
        <v>1</v>
      </c>
      <c r="J33" s="30"/>
      <c r="K33" s="81" t="str">
        <f t="shared" si="18"/>
        <v>Clean (~20 min)</v>
      </c>
      <c r="L33" s="26" t="b">
        <v>1</v>
      </c>
      <c r="M33" s="26" t="b">
        <v>1</v>
      </c>
      <c r="N33" s="26" t="b">
        <v>0</v>
      </c>
      <c r="O33" s="26" t="b">
        <v>0</v>
      </c>
      <c r="P33" s="26" t="b">
        <v>0</v>
      </c>
      <c r="Q33" s="26" t="b">
        <v>0</v>
      </c>
      <c r="R33" s="29" t="b">
        <v>0</v>
      </c>
      <c r="T33" s="85" t="s">
        <v>24</v>
      </c>
      <c r="U33" s="38" t="b">
        <v>0</v>
      </c>
      <c r="V33" s="38" t="b">
        <v>0</v>
      </c>
      <c r="W33" s="32" t="b">
        <v>0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0</v>
      </c>
      <c r="D34" s="26" t="b">
        <v>0</v>
      </c>
      <c r="E34" s="26" t="b">
        <v>1</v>
      </c>
      <c r="F34" s="26" t="b">
        <v>1</v>
      </c>
      <c r="G34" s="26" t="b">
        <v>1</v>
      </c>
      <c r="H34" s="26" t="b">
        <v>0</v>
      </c>
      <c r="I34" s="32" t="b">
        <v>0</v>
      </c>
      <c r="J34" s="30"/>
      <c r="K34" s="81" t="str">
        <f t="shared" si="18"/>
        <v>Read (~20 min)</v>
      </c>
      <c r="L34" s="26" t="b">
        <v>1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W34" si="19">COUNTIF(U24:U33,True)/COUNTA(U24:U33)</f>
        <v>0.6</v>
      </c>
      <c r="V34" s="68">
        <f t="shared" si="19"/>
        <v>0.6</v>
      </c>
      <c r="W34" s="146">
        <f t="shared" si="19"/>
        <v>0.4</v>
      </c>
    </row>
    <row r="35">
      <c r="A35" s="133"/>
      <c r="B35" s="81" t="str">
        <f t="shared" si="17"/>
        <v>Vitamins</v>
      </c>
      <c r="C35" s="26" t="b">
        <v>0</v>
      </c>
      <c r="D35" s="26" t="b">
        <v>1</v>
      </c>
      <c r="E35" s="27" t="b">
        <v>0</v>
      </c>
      <c r="F35" s="27" t="b">
        <v>0</v>
      </c>
      <c r="G35" s="26" t="b">
        <v>1</v>
      </c>
      <c r="H35" s="26" t="b">
        <v>0</v>
      </c>
      <c r="I35" s="32" t="b">
        <v>0</v>
      </c>
      <c r="J35" s="30"/>
      <c r="K35" s="81" t="str">
        <f t="shared" si="18"/>
        <v>Vitamins</v>
      </c>
      <c r="L35" s="26" t="b">
        <v>1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29" t="b">
        <v>0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1</v>
      </c>
      <c r="E36" s="67" t="b">
        <v>0</v>
      </c>
      <c r="F36" s="67" t="b">
        <v>0</v>
      </c>
      <c r="G36" s="38" t="b">
        <v>0</v>
      </c>
      <c r="H36" s="38" t="b">
        <v>1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0.25</v>
      </c>
      <c r="D37" s="44">
        <f t="shared" si="20"/>
        <v>0.4166666667</v>
      </c>
      <c r="E37" s="44">
        <f t="shared" si="20"/>
        <v>0.4166666667</v>
      </c>
      <c r="F37" s="44">
        <f t="shared" si="20"/>
        <v>0.4166666667</v>
      </c>
      <c r="G37" s="44">
        <f t="shared" si="20"/>
        <v>0.5</v>
      </c>
      <c r="H37" s="44">
        <f t="shared" si="20"/>
        <v>0.5</v>
      </c>
      <c r="I37" s="45">
        <f t="shared" si="20"/>
        <v>0.3333333333</v>
      </c>
      <c r="J37" s="21"/>
      <c r="K37" s="134" t="s">
        <v>27</v>
      </c>
      <c r="L37" s="135">
        <f t="shared" ref="L37:R37" si="21">COUNTIF(L25:L35,True)/COUNTA(L25:L35)</f>
        <v>0.6363636364</v>
      </c>
      <c r="M37" s="135">
        <f t="shared" si="21"/>
        <v>0.1818181818</v>
      </c>
      <c r="N37" s="135">
        <f t="shared" si="21"/>
        <v>0.09090909091</v>
      </c>
      <c r="O37" s="135">
        <f t="shared" si="21"/>
        <v>0.09090909091</v>
      </c>
      <c r="P37" s="135">
        <f t="shared" si="21"/>
        <v>0.2727272727</v>
      </c>
      <c r="Q37" s="135">
        <f t="shared" si="21"/>
        <v>0.09090909091</v>
      </c>
      <c r="R37" s="92">
        <f t="shared" si="21"/>
        <v>0.09090909091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IFERROR(__xludf.DUMMYFUNCTION("SPARKLINE((SUM(C37:I37)+3*AH20)/10,{""charttype"",""bar"";""max"",1;""min"",0;""color1"",IF((SUM(C37:I37)+3*AH20)/10&gt;0.7,""green"",IF((SUM(C37:I37)+3*AH20)/10&gt;0.5,""yellow"",""red""))})"),"")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IFERROR(__xludf.DUMMYFUNCTION("SPARKLINE((SUM(L37:R37)+3*AI20)/10,{""charttype"",""bar"";""max"",1;""min"",0;""color1"",IF((SUM(L37:R37)+3*AI20)/10&gt;0.7,""green"",IF((SUM(L37:R37)+3*AI20)/10&gt;0.5,""yellow"",""red""))})"),"")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AH31 U34:W35 C37:I37 L37:R37 AH49:AM49">
    <cfRule type="cellIs" dxfId="1" priority="3" operator="between">
      <formula>0.1</formula>
      <formula>0.25</formula>
    </cfRule>
  </conditionalFormatting>
  <conditionalFormatting sqref="S1:S2 U18:V18 C19:I19 L19:R19 AG20:AG21 Z22:AF22 U34:W35 C37:I37 L37:R37 AH49:AM49">
    <cfRule type="cellIs" dxfId="0" priority="4" operator="between">
      <formula>0.251</formula>
      <formula>0.5</formula>
    </cfRule>
  </conditionalFormatting>
  <conditionalFormatting sqref="U18:V18 C19:I19 L19:R19 AG20:AG21 Z22:AF22 U34:W35 C37:I37 L37:R37 AH49:AM49">
    <cfRule type="cellIs" dxfId="2" priority="5" operator="between">
      <formula>0.51</formula>
      <formula>0.7</formula>
    </cfRule>
  </conditionalFormatting>
  <conditionalFormatting sqref="S1:S2 U18:V18 C19:I19 L19:R19 AG20:AG21 Z22:AF22 U34:W35 C37:I37 L37:R37 AH49:AM49">
    <cfRule type="cellIs" dxfId="3" priority="6" operator="between">
      <formula>0.71</formula>
      <formula>0.99</formula>
    </cfRule>
  </conditionalFormatting>
  <conditionalFormatting sqref="U5:V19 C7:I18 L7:R18 AE9:AG22 Z10:AD21 U23:V36 W23:W35 C25:I36 L25:R36 AH26:AH30 AE37:AM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 AH31">
    <cfRule type="cellIs" dxfId="0" priority="10" operator="between">
      <formula>0.26</formula>
      <formula>0.5</formula>
    </cfRule>
  </conditionalFormatting>
  <conditionalFormatting sqref="S1:S2 U11:V21 AG14 AG20:AG21 U28:W28 AH31 U34:W35">
    <cfRule type="cellIs" dxfId="2" priority="11" operator="between">
      <formula>0.51</formula>
      <formula>0.75</formula>
    </cfRule>
  </conditionalFormatting>
  <conditionalFormatting sqref="U11:V21 AG14 AG20:AG21 U28:W28 AH31 U34:W35">
    <cfRule type="cellIs" dxfId="4" priority="12" operator="between">
      <formula>0.76</formula>
      <formula>0.99</formula>
    </cfRule>
  </conditionalFormatting>
  <conditionalFormatting sqref="S1:S2 U14:V21 C19:I19 L19:R19 AG20:AG21 Z22:AF22 AH31 U34:W35 C37:I37 L37:R37 AH49:AM49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4.0"/>
    <col customWidth="1" min="26" max="26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45047.0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April2023!AF8+1</f>
        <v>45047</v>
      </c>
      <c r="D5" s="98">
        <f t="shared" ref="D5:I5" si="1">C5+1</f>
        <v>45048</v>
      </c>
      <c r="E5" s="98">
        <f t="shared" si="1"/>
        <v>45049</v>
      </c>
      <c r="F5" s="98">
        <f t="shared" si="1"/>
        <v>45050</v>
      </c>
      <c r="G5" s="98">
        <f t="shared" si="1"/>
        <v>45051</v>
      </c>
      <c r="H5" s="98">
        <f t="shared" si="1"/>
        <v>45052</v>
      </c>
      <c r="I5" s="125">
        <f t="shared" si="1"/>
        <v>45053</v>
      </c>
      <c r="J5" s="17"/>
      <c r="K5" s="126" t="s">
        <v>2</v>
      </c>
      <c r="L5" s="98">
        <f>I5+1</f>
        <v>45054</v>
      </c>
      <c r="M5" s="98">
        <f t="shared" ref="M5:R5" si="2">L5+1</f>
        <v>45055</v>
      </c>
      <c r="N5" s="98">
        <f t="shared" si="2"/>
        <v>45056</v>
      </c>
      <c r="O5" s="98">
        <f t="shared" si="2"/>
        <v>45057</v>
      </c>
      <c r="P5" s="98">
        <f t="shared" si="2"/>
        <v>45058</v>
      </c>
      <c r="Q5" s="98">
        <f t="shared" si="2"/>
        <v>45059</v>
      </c>
      <c r="R5" s="125">
        <f t="shared" si="2"/>
        <v>45060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1</v>
      </c>
      <c r="E7" s="26" t="b">
        <v>0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0.5503367003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242</v>
      </c>
    </row>
    <row r="9">
      <c r="A9" s="128"/>
      <c r="B9" s="79" t="s">
        <v>39</v>
      </c>
      <c r="C9" s="26" t="b">
        <v>0</v>
      </c>
      <c r="D9" s="26" t="b">
        <v>1</v>
      </c>
      <c r="E9" s="26" t="b">
        <v>1</v>
      </c>
      <c r="F9" s="28" t="b">
        <v>1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0</v>
      </c>
      <c r="O9" s="26" t="b">
        <v>1</v>
      </c>
      <c r="P9" s="26" t="b">
        <v>1</v>
      </c>
      <c r="Q9" s="26" t="b">
        <v>0</v>
      </c>
      <c r="R9" s="32" t="b">
        <v>1</v>
      </c>
      <c r="T9" s="82" t="s">
        <v>6</v>
      </c>
      <c r="U9" s="26" t="b">
        <v>1</v>
      </c>
      <c r="V9" s="32" t="b">
        <v>1</v>
      </c>
      <c r="X9" s="131">
        <f>X8 + April2023!AB4</f>
        <v>1415</v>
      </c>
    </row>
    <row r="10">
      <c r="A10" s="128"/>
      <c r="B10" s="79" t="s">
        <v>11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1</v>
      </c>
      <c r="O10" s="26" t="b">
        <v>0</v>
      </c>
      <c r="P10" s="26" t="b">
        <v>1</v>
      </c>
      <c r="Q10" s="26" t="b">
        <v>1</v>
      </c>
      <c r="R10" s="32" t="b">
        <v>1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1</v>
      </c>
      <c r="D11" s="26" t="b">
        <v>1</v>
      </c>
      <c r="E11" s="26" t="b">
        <v>0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0</v>
      </c>
      <c r="O11" s="26" t="b">
        <v>1</v>
      </c>
      <c r="P11" s="26" t="b">
        <v>0</v>
      </c>
      <c r="Q11" s="26" t="b">
        <v>0</v>
      </c>
      <c r="R11" s="32" t="b">
        <v>1</v>
      </c>
      <c r="T11" s="82" t="s">
        <v>10</v>
      </c>
      <c r="U11" s="26" t="b">
        <v>0</v>
      </c>
      <c r="V11" s="32" t="b">
        <v>1</v>
      </c>
    </row>
    <row r="12">
      <c r="A12" s="127"/>
      <c r="B12" s="82" t="s">
        <v>37</v>
      </c>
      <c r="C12" s="26" t="b">
        <v>1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1</v>
      </c>
      <c r="T12" s="82" t="s">
        <v>12</v>
      </c>
      <c r="U12" s="26" t="b">
        <v>0</v>
      </c>
      <c r="V12" s="32" t="b">
        <v>1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1</v>
      </c>
      <c r="D14" s="26" t="b">
        <v>1</v>
      </c>
      <c r="E14" s="26" t="b">
        <v>0</v>
      </c>
      <c r="F14" s="26" t="b">
        <v>0</v>
      </c>
      <c r="G14" s="26" t="b">
        <v>0</v>
      </c>
      <c r="H14" s="26" t="b">
        <v>0</v>
      </c>
      <c r="I14" s="32" t="b">
        <v>1</v>
      </c>
      <c r="J14" s="30"/>
      <c r="K14" s="81" t="str">
        <f t="shared" si="5"/>
        <v>7 hours sleep</v>
      </c>
      <c r="L14" s="26" t="b">
        <v>0</v>
      </c>
      <c r="M14" s="26" t="b">
        <v>0</v>
      </c>
      <c r="N14" s="26" t="b">
        <v>0</v>
      </c>
      <c r="O14" s="26" t="b">
        <v>1</v>
      </c>
      <c r="P14" s="26" t="b">
        <v>1</v>
      </c>
      <c r="Q14" s="26" t="b">
        <v>1</v>
      </c>
      <c r="R14" s="32" t="b">
        <v>1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1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0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1</v>
      </c>
      <c r="T15" s="82" t="s">
        <v>18</v>
      </c>
      <c r="U15" s="26" t="b">
        <v>1</v>
      </c>
      <c r="V15" s="32" t="b">
        <v>1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1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0</v>
      </c>
      <c r="D17" s="26" t="b">
        <v>1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1</v>
      </c>
      <c r="Q17" s="26" t="b">
        <v>0</v>
      </c>
      <c r="R17" s="32" t="b">
        <v>1</v>
      </c>
      <c r="T17" s="82" t="s">
        <v>22</v>
      </c>
      <c r="U17" s="26" t="b">
        <v>1</v>
      </c>
      <c r="V17" s="32" t="b">
        <v>0</v>
      </c>
      <c r="X17" s="82" t="s">
        <v>28</v>
      </c>
      <c r="Y17" s="32" t="b">
        <v>1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1</v>
      </c>
      <c r="X18" s="82" t="s">
        <v>47</v>
      </c>
      <c r="Y18" s="32" t="b">
        <v>1</v>
      </c>
    </row>
    <row r="19">
      <c r="A19" s="127"/>
      <c r="B19" s="88" t="s">
        <v>27</v>
      </c>
      <c r="C19" s="44">
        <f t="shared" ref="C19:I19" si="6">COUNTIF(C7:C18,True)/COUNTA(C7:C18)</f>
        <v>0.3333333333</v>
      </c>
      <c r="D19" s="44">
        <f t="shared" si="6"/>
        <v>0.4166666667</v>
      </c>
      <c r="E19" s="44">
        <f t="shared" si="6"/>
        <v>0.08333333333</v>
      </c>
      <c r="F19" s="44">
        <f t="shared" si="6"/>
        <v>0.08333333333</v>
      </c>
      <c r="G19" s="44">
        <f t="shared" si="6"/>
        <v>0</v>
      </c>
      <c r="H19" s="44">
        <f t="shared" si="6"/>
        <v>0</v>
      </c>
      <c r="I19" s="45">
        <f t="shared" si="6"/>
        <v>0.08333333333</v>
      </c>
      <c r="J19" s="21"/>
      <c r="K19" s="134" t="s">
        <v>27</v>
      </c>
      <c r="L19" s="135">
        <f t="shared" ref="L19:R19" si="7">COUNTIF(L7:L18,True)/COUNTA(L7:L18)</f>
        <v>0</v>
      </c>
      <c r="M19" s="135">
        <f t="shared" si="7"/>
        <v>0</v>
      </c>
      <c r="N19" s="135">
        <f t="shared" si="7"/>
        <v>0.08333333333</v>
      </c>
      <c r="O19" s="135">
        <f t="shared" si="7"/>
        <v>0.25</v>
      </c>
      <c r="P19" s="135">
        <f t="shared" si="7"/>
        <v>0.4166666667</v>
      </c>
      <c r="Q19" s="135">
        <f t="shared" si="7"/>
        <v>0.1666666667</v>
      </c>
      <c r="R19" s="135">
        <f t="shared" si="7"/>
        <v>0.5833333333</v>
      </c>
      <c r="T19" s="88" t="s">
        <v>27</v>
      </c>
      <c r="U19" s="44">
        <f t="shared" ref="U19:V19" si="8">COUNTIF(U9:U18,True)/COUNTA(U9:U18)</f>
        <v>0.6</v>
      </c>
      <c r="V19" s="45">
        <f t="shared" si="8"/>
        <v>0.8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X20" s="82" t="s">
        <v>32</v>
      </c>
      <c r="Y20" s="32" t="b">
        <v>1</v>
      </c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X21" s="85" t="s">
        <v>34</v>
      </c>
      <c r="Y21" s="32" t="b">
        <v>1</v>
      </c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1</v>
      </c>
      <c r="Z22" s="56"/>
    </row>
    <row r="23">
      <c r="A23" s="127"/>
      <c r="B23" s="139" t="s">
        <v>35</v>
      </c>
      <c r="C23" s="97">
        <f>R5+1</f>
        <v>45061</v>
      </c>
      <c r="D23" s="108">
        <f t="shared" ref="D23:I23" si="9">C23+1</f>
        <v>45062</v>
      </c>
      <c r="E23" s="108">
        <f t="shared" si="9"/>
        <v>45063</v>
      </c>
      <c r="F23" s="108">
        <f t="shared" si="9"/>
        <v>45064</v>
      </c>
      <c r="G23" s="108">
        <f t="shared" si="9"/>
        <v>45065</v>
      </c>
      <c r="H23" s="108">
        <f t="shared" si="9"/>
        <v>45066</v>
      </c>
      <c r="I23" s="111">
        <f t="shared" si="9"/>
        <v>45067</v>
      </c>
      <c r="J23" s="52"/>
      <c r="K23" s="110" t="s">
        <v>36</v>
      </c>
      <c r="L23" s="108">
        <f>I23+1</f>
        <v>45068</v>
      </c>
      <c r="M23" s="108">
        <f t="shared" ref="M23:R23" si="10">L23+1</f>
        <v>45069</v>
      </c>
      <c r="N23" s="108">
        <f t="shared" si="10"/>
        <v>45070</v>
      </c>
      <c r="O23" s="108">
        <f t="shared" si="10"/>
        <v>45071</v>
      </c>
      <c r="P23" s="108">
        <f t="shared" si="10"/>
        <v>45072</v>
      </c>
      <c r="Q23" s="108">
        <f t="shared" si="10"/>
        <v>45073</v>
      </c>
      <c r="R23" s="111">
        <f t="shared" si="10"/>
        <v>45074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1</v>
      </c>
      <c r="D25" s="26" t="b">
        <v>1</v>
      </c>
      <c r="E25" s="26" t="b">
        <v>1</v>
      </c>
      <c r="F25" s="28" t="b">
        <v>1</v>
      </c>
      <c r="G25" s="27" t="b">
        <v>0</v>
      </c>
      <c r="H25" s="26" t="b">
        <v>1</v>
      </c>
      <c r="I25" s="29" t="b">
        <v>0</v>
      </c>
      <c r="J25" s="30"/>
      <c r="K25" s="81" t="str">
        <f t="shared" ref="K25:K35" si="14">B7</f>
        <v>Exercise</v>
      </c>
      <c r="L25" s="26" t="b">
        <v>1</v>
      </c>
      <c r="M25" s="26" t="b">
        <v>1</v>
      </c>
      <c r="N25" s="26" t="b">
        <v>1</v>
      </c>
      <c r="O25" s="26" t="b">
        <v>0</v>
      </c>
      <c r="P25" s="26" t="b">
        <v>0</v>
      </c>
      <c r="Q25" s="26" t="b">
        <v>1</v>
      </c>
      <c r="R25" s="29" t="b">
        <v>0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6" t="b">
        <v>1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1</v>
      </c>
      <c r="R27" s="32" t="b">
        <v>1</v>
      </c>
      <c r="T27" s="82" t="s">
        <v>12</v>
      </c>
      <c r="U27" s="26" t="b">
        <v>1</v>
      </c>
      <c r="V27" s="32" t="b">
        <v>1</v>
      </c>
    </row>
    <row r="28">
      <c r="A28" s="127"/>
      <c r="B28" s="82" t="str">
        <f t="shared" si="13"/>
        <v>Eat in</v>
      </c>
      <c r="C28" s="26" t="b">
        <v>1</v>
      </c>
      <c r="D28" s="26" t="b">
        <v>1</v>
      </c>
      <c r="E28" s="26" t="b">
        <v>1</v>
      </c>
      <c r="F28" s="27" t="b">
        <v>0</v>
      </c>
      <c r="G28" s="26" t="b">
        <v>1</v>
      </c>
      <c r="H28" s="26" t="b">
        <v>1</v>
      </c>
      <c r="I28" s="29" t="b">
        <v>0</v>
      </c>
      <c r="J28" s="30"/>
      <c r="K28" s="81" t="str">
        <f t="shared" si="14"/>
        <v>Eat in</v>
      </c>
      <c r="L28" s="26" t="b">
        <v>1</v>
      </c>
      <c r="M28" s="26" t="b">
        <v>1</v>
      </c>
      <c r="N28" s="26" t="b">
        <v>1</v>
      </c>
      <c r="O28" s="26" t="b">
        <v>0</v>
      </c>
      <c r="P28" s="26" t="b">
        <v>1</v>
      </c>
      <c r="Q28" s="26" t="b">
        <v>0</v>
      </c>
      <c r="R28" s="32" t="b">
        <v>1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1</v>
      </c>
      <c r="D29" s="26" t="b">
        <v>1</v>
      </c>
      <c r="E29" s="26" t="b">
        <v>1</v>
      </c>
      <c r="F29" s="26" t="b">
        <v>1</v>
      </c>
      <c r="G29" s="26" t="b">
        <v>1</v>
      </c>
      <c r="H29" s="26" t="b">
        <v>1</v>
      </c>
      <c r="I29" s="32" t="b">
        <v>1</v>
      </c>
      <c r="J29" s="30"/>
      <c r="K29" s="95" t="str">
        <f t="shared" si="14"/>
        <v>Review Budget/Goals</v>
      </c>
      <c r="L29" s="26" t="b">
        <v>1</v>
      </c>
      <c r="M29" s="26" t="b">
        <v>1</v>
      </c>
      <c r="N29" s="26" t="b">
        <v>1</v>
      </c>
      <c r="O29" s="26" t="b">
        <v>0</v>
      </c>
      <c r="P29" s="26" t="b">
        <v>1</v>
      </c>
      <c r="Q29" s="26" t="b">
        <v>0</v>
      </c>
      <c r="R29" s="32" t="b">
        <v>1</v>
      </c>
      <c r="T29" s="82" t="s">
        <v>16</v>
      </c>
      <c r="U29" s="26" t="b">
        <v>1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1</v>
      </c>
      <c r="D30" s="26" t="b">
        <v>1</v>
      </c>
      <c r="E30" s="26" t="b">
        <v>1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1</v>
      </c>
      <c r="M30" s="26" t="b">
        <v>1</v>
      </c>
      <c r="N30" s="26" t="b">
        <v>1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32" t="b">
        <v>1</v>
      </c>
    </row>
    <row r="31">
      <c r="A31" s="127"/>
      <c r="B31" s="82" t="str">
        <f t="shared" si="13"/>
        <v>Water (3L)</v>
      </c>
      <c r="C31" s="26" t="b">
        <v>1</v>
      </c>
      <c r="D31" s="26" t="b">
        <v>1</v>
      </c>
      <c r="E31" s="26" t="b">
        <v>1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1</v>
      </c>
      <c r="M31" s="26" t="b">
        <v>1</v>
      </c>
      <c r="N31" s="26" t="b">
        <v>1</v>
      </c>
      <c r="O31" s="26" t="b">
        <v>1</v>
      </c>
      <c r="P31" s="26" t="b">
        <v>1</v>
      </c>
      <c r="Q31" s="26" t="b">
        <v>0</v>
      </c>
      <c r="R31" s="32" t="b">
        <v>1</v>
      </c>
      <c r="T31" s="82" t="s">
        <v>20</v>
      </c>
      <c r="U31" s="26" t="b">
        <v>1</v>
      </c>
      <c r="V31" s="32" t="b">
        <v>0</v>
      </c>
    </row>
    <row r="32">
      <c r="A32" s="127"/>
      <c r="B32" s="82" t="str">
        <f t="shared" si="13"/>
        <v>7 hours sleep</v>
      </c>
      <c r="C32" s="26" t="b">
        <v>1</v>
      </c>
      <c r="D32" s="26" t="b">
        <v>1</v>
      </c>
      <c r="E32" s="27" t="b">
        <v>0</v>
      </c>
      <c r="F32" s="27" t="b">
        <v>0</v>
      </c>
      <c r="G32" s="26" t="b">
        <v>1</v>
      </c>
      <c r="H32" s="26" t="b">
        <v>0</v>
      </c>
      <c r="I32" s="32" t="b">
        <v>0</v>
      </c>
      <c r="J32" s="30"/>
      <c r="K32" s="81" t="str">
        <f t="shared" si="14"/>
        <v>7 hours sleep</v>
      </c>
      <c r="L32" s="26" t="b">
        <v>0</v>
      </c>
      <c r="M32" s="26" t="b">
        <v>0</v>
      </c>
      <c r="N32" s="26" t="b">
        <v>0</v>
      </c>
      <c r="O32" s="26" t="b">
        <v>0</v>
      </c>
      <c r="P32" s="26" t="b">
        <v>0</v>
      </c>
      <c r="Q32" s="26" t="b">
        <v>1</v>
      </c>
      <c r="R32" s="32" t="b">
        <v>1</v>
      </c>
      <c r="T32" s="82" t="s">
        <v>22</v>
      </c>
      <c r="U32" s="26" t="b">
        <v>1</v>
      </c>
      <c r="V32" s="32" t="b">
        <v>0</v>
      </c>
    </row>
    <row r="33">
      <c r="A33" s="127"/>
      <c r="B33" s="82" t="str">
        <f t="shared" si="13"/>
        <v>Clean (~20 min)</v>
      </c>
      <c r="C33" s="26" t="b">
        <v>1</v>
      </c>
      <c r="D33" s="26" t="b">
        <v>1</v>
      </c>
      <c r="E33" s="26" t="b">
        <v>1</v>
      </c>
      <c r="F33" s="27" t="b">
        <v>0</v>
      </c>
      <c r="G33" s="26" t="b">
        <v>1</v>
      </c>
      <c r="H33" s="26" t="b">
        <v>0</v>
      </c>
      <c r="I33" s="32" t="b">
        <v>1</v>
      </c>
      <c r="J33" s="30"/>
      <c r="K33" s="81" t="str">
        <f t="shared" si="14"/>
        <v>Clean (~20 min)</v>
      </c>
      <c r="L33" s="26" t="b">
        <v>1</v>
      </c>
      <c r="M33" s="26" t="b">
        <v>1</v>
      </c>
      <c r="N33" s="26" t="b">
        <v>0</v>
      </c>
      <c r="O33" s="26" t="b">
        <v>0</v>
      </c>
      <c r="P33" s="26" t="b">
        <v>1</v>
      </c>
      <c r="Q33" s="26" t="b">
        <v>1</v>
      </c>
      <c r="R33" s="32" t="b">
        <v>1</v>
      </c>
      <c r="T33" s="85" t="s">
        <v>24</v>
      </c>
      <c r="U33" s="38" t="b">
        <v>1</v>
      </c>
      <c r="V33" s="39" t="b">
        <v>1</v>
      </c>
    </row>
    <row r="34">
      <c r="A34" s="127"/>
      <c r="B34" s="82" t="str">
        <f t="shared" si="13"/>
        <v>Read (~20 min)</v>
      </c>
      <c r="C34" s="26" t="b">
        <v>1</v>
      </c>
      <c r="D34" s="26" t="b">
        <v>1</v>
      </c>
      <c r="E34" s="26" t="b">
        <v>1</v>
      </c>
      <c r="F34" s="27" t="b">
        <v>0</v>
      </c>
      <c r="G34" s="26" t="b">
        <v>1</v>
      </c>
      <c r="H34" s="26" t="b">
        <v>0</v>
      </c>
      <c r="I34" s="32" t="b">
        <v>1</v>
      </c>
      <c r="J34" s="30"/>
      <c r="K34" s="81" t="str">
        <f t="shared" si="14"/>
        <v>Read (~20 min)</v>
      </c>
      <c r="L34" s="26" t="b">
        <v>1</v>
      </c>
      <c r="M34" s="26" t="b">
        <v>1</v>
      </c>
      <c r="N34" s="26" t="b">
        <v>1</v>
      </c>
      <c r="O34" s="26" t="b">
        <v>1</v>
      </c>
      <c r="P34" s="26" t="b">
        <v>1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0.9</v>
      </c>
      <c r="V34" s="69">
        <f t="shared" si="15"/>
        <v>0.7</v>
      </c>
    </row>
    <row r="35">
      <c r="A35" s="133"/>
      <c r="B35" s="81" t="str">
        <f t="shared" si="13"/>
        <v>Vitamins</v>
      </c>
      <c r="C35" s="26" t="b">
        <v>1</v>
      </c>
      <c r="D35" s="26" t="b">
        <v>1</v>
      </c>
      <c r="E35" s="26" t="b">
        <v>1</v>
      </c>
      <c r="F35" s="27" t="b">
        <v>0</v>
      </c>
      <c r="G35" s="26" t="b">
        <v>1</v>
      </c>
      <c r="H35" s="26" t="b">
        <v>0</v>
      </c>
      <c r="I35" s="32" t="b">
        <v>1</v>
      </c>
      <c r="J35" s="30"/>
      <c r="K35" s="81" t="str">
        <f t="shared" si="14"/>
        <v>Vitamins</v>
      </c>
      <c r="L35" s="26" t="b">
        <v>1</v>
      </c>
      <c r="M35" s="26" t="b">
        <v>1</v>
      </c>
      <c r="N35" s="26" t="b">
        <v>1</v>
      </c>
      <c r="O35" s="26" t="b">
        <v>0</v>
      </c>
      <c r="P35" s="26" t="b">
        <v>0</v>
      </c>
      <c r="Q35" s="26" t="b">
        <v>0</v>
      </c>
      <c r="R35" s="32" t="b">
        <v>1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9" t="str">
        <f>IFERROR(__xludf.DUMMYFUNCTION("SPARKLINE(V34,{""charttype"",""bar"";""max"",1;""min"",0;""color1"",IF(V34&gt;0.7,""green"",IF(V34&gt;0.5,""yellow"",""red""))})"),"")</f>
        <v/>
      </c>
    </row>
    <row r="36">
      <c r="A36" s="133"/>
      <c r="B36" s="86" t="str">
        <f t="shared" si="13"/>
        <v>Duolingo</v>
      </c>
      <c r="C36" s="38" t="b">
        <v>1</v>
      </c>
      <c r="D36" s="38" t="b">
        <v>1</v>
      </c>
      <c r="E36" s="38" t="b">
        <v>1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1</v>
      </c>
      <c r="M36" s="26" t="b">
        <v>1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IFERROR(__xludf.DUMMYFUNCTION("SPARKLINE((U34+V34)/2,{""charttype"",""bar"";""max"",1;""min"",0;""color1"",IF((U34+V34)/2&gt;0.7,""green"",IF((U34+V34)/2&gt;0.5,""yellow"",""red""))})"),"")</f>
        <v/>
      </c>
      <c r="V36" s="41"/>
    </row>
    <row r="37">
      <c r="A37" s="127"/>
      <c r="B37" s="88" t="s">
        <v>27</v>
      </c>
      <c r="C37" s="44">
        <f t="shared" ref="C37:I37" si="16">COUNTIF(C25:C36,True)/COUNTA(C25:C36)</f>
        <v>0.9166666667</v>
      </c>
      <c r="D37" s="44">
        <f t="shared" si="16"/>
        <v>0.9166666667</v>
      </c>
      <c r="E37" s="44">
        <f t="shared" si="16"/>
        <v>0.8333333333</v>
      </c>
      <c r="F37" s="44">
        <f t="shared" si="16"/>
        <v>0.25</v>
      </c>
      <c r="G37" s="44">
        <f t="shared" si="16"/>
        <v>0.5833333333</v>
      </c>
      <c r="H37" s="44">
        <f t="shared" si="16"/>
        <v>0.25</v>
      </c>
      <c r="I37" s="45">
        <f t="shared" si="16"/>
        <v>0.3333333333</v>
      </c>
      <c r="J37" s="21"/>
      <c r="K37" s="134" t="s">
        <v>27</v>
      </c>
      <c r="L37" s="135">
        <f t="shared" ref="L37:R37" si="17">COUNTIF(L25:L35,True)/COUNTA(L25:L35)</f>
        <v>0.8181818182</v>
      </c>
      <c r="M37" s="135">
        <f t="shared" si="17"/>
        <v>0.8181818182</v>
      </c>
      <c r="N37" s="135">
        <f t="shared" si="17"/>
        <v>0.7272727273</v>
      </c>
      <c r="O37" s="135">
        <f t="shared" si="17"/>
        <v>0.2727272727</v>
      </c>
      <c r="P37" s="135">
        <f t="shared" si="17"/>
        <v>0.5454545455</v>
      </c>
      <c r="Q37" s="135">
        <f t="shared" si="17"/>
        <v>0.3636363636</v>
      </c>
      <c r="R37" s="92">
        <f t="shared" si="17"/>
        <v>0.6363636364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9">
    <mergeCell ref="C39:I39"/>
    <mergeCell ref="L39:R39"/>
    <mergeCell ref="D2:R3"/>
    <mergeCell ref="S2:S3"/>
    <mergeCell ref="X16:Y16"/>
    <mergeCell ref="C21:I21"/>
    <mergeCell ref="L21:R21"/>
    <mergeCell ref="U21:V21"/>
    <mergeCell ref="U36:V3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4.0"/>
    <col customWidth="1" min="26" max="26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45078.0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'May2023'!R23+1</f>
        <v>45075</v>
      </c>
      <c r="D5" s="98">
        <f t="shared" ref="D5:I5" si="1">C5+1</f>
        <v>45076</v>
      </c>
      <c r="E5" s="98">
        <f t="shared" si="1"/>
        <v>45077</v>
      </c>
      <c r="F5" s="98">
        <f t="shared" si="1"/>
        <v>45078</v>
      </c>
      <c r="G5" s="98">
        <f t="shared" si="1"/>
        <v>45079</v>
      </c>
      <c r="H5" s="98">
        <f t="shared" si="1"/>
        <v>45080</v>
      </c>
      <c r="I5" s="125">
        <f t="shared" si="1"/>
        <v>45081</v>
      </c>
      <c r="J5" s="17"/>
      <c r="K5" s="126" t="s">
        <v>2</v>
      </c>
      <c r="L5" s="98">
        <f>I5+1</f>
        <v>45082</v>
      </c>
      <c r="M5" s="98">
        <f t="shared" ref="M5:R5" si="2">L5+1</f>
        <v>45083</v>
      </c>
      <c r="N5" s="98">
        <f t="shared" si="2"/>
        <v>45084</v>
      </c>
      <c r="O5" s="98">
        <f t="shared" si="2"/>
        <v>45085</v>
      </c>
      <c r="P5" s="98">
        <f t="shared" si="2"/>
        <v>45086</v>
      </c>
      <c r="Q5" s="98">
        <f t="shared" si="2"/>
        <v>45087</v>
      </c>
      <c r="R5" s="125">
        <f t="shared" si="2"/>
        <v>45088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0</v>
      </c>
      <c r="E7" s="26" t="b">
        <v>0</v>
      </c>
      <c r="F7" s="28" t="b">
        <v>0</v>
      </c>
      <c r="G7" s="26" t="b">
        <v>0</v>
      </c>
      <c r="H7" s="26" t="b">
        <v>0</v>
      </c>
      <c r="I7" s="32" t="b">
        <v>1</v>
      </c>
      <c r="J7" s="30"/>
      <c r="K7" s="81" t="str">
        <f t="shared" ref="K7:K18" si="5">B7</f>
        <v>Exercise</v>
      </c>
      <c r="L7" s="26" t="b">
        <v>1</v>
      </c>
      <c r="M7" s="26" t="b">
        <v>1</v>
      </c>
      <c r="N7" s="26" t="b">
        <v>1</v>
      </c>
      <c r="O7" s="26" t="b">
        <v>0</v>
      </c>
      <c r="P7" s="26" t="b">
        <v>0</v>
      </c>
      <c r="Q7" s="26" t="b">
        <v>1</v>
      </c>
      <c r="R7" s="32" t="b">
        <v>1</v>
      </c>
      <c r="X7" s="129">
        <f>(SUM(C19:I19)+3*SUM(U19:V19) + SUM(L19:R19) + SUM(C37:I37) + SUM(L37:R37) + 3*SUM(U34:V34) + 5*SUM(Y22))/45</f>
        <v>0.5015151515</v>
      </c>
    </row>
    <row r="8">
      <c r="A8" s="128"/>
      <c r="B8" s="79" t="s">
        <v>7</v>
      </c>
      <c r="C8" s="26" t="b">
        <v>1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1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232</v>
      </c>
    </row>
    <row r="9">
      <c r="A9" s="128"/>
      <c r="B9" s="79" t="s">
        <v>39</v>
      </c>
      <c r="C9" s="26" t="b">
        <v>0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0</v>
      </c>
      <c r="R9" s="32" t="b">
        <v>1</v>
      </c>
      <c r="T9" s="82" t="s">
        <v>6</v>
      </c>
      <c r="U9" s="26" t="b">
        <v>1</v>
      </c>
      <c r="V9" s="32" t="b">
        <v>0</v>
      </c>
      <c r="X9" s="131">
        <f>X8 + 'May2023'!X9</f>
        <v>1647</v>
      </c>
    </row>
    <row r="10">
      <c r="A10" s="128"/>
      <c r="B10" s="79" t="s">
        <v>11</v>
      </c>
      <c r="C10" s="26" t="b">
        <v>0</v>
      </c>
      <c r="D10" s="26" t="b">
        <v>1</v>
      </c>
      <c r="E10" s="26" t="b">
        <v>1</v>
      </c>
      <c r="F10" s="26" t="b">
        <v>0</v>
      </c>
      <c r="G10" s="26" t="b">
        <v>1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1</v>
      </c>
      <c r="O10" s="26" t="b">
        <v>1</v>
      </c>
      <c r="P10" s="26" t="b">
        <v>1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1</v>
      </c>
      <c r="D11" s="26" t="b">
        <v>1</v>
      </c>
      <c r="E11" s="26" t="b">
        <v>1</v>
      </c>
      <c r="F11" s="26" t="b">
        <v>0</v>
      </c>
      <c r="G11" s="26" t="b">
        <v>0</v>
      </c>
      <c r="H11" s="26" t="b">
        <v>1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1</v>
      </c>
      <c r="O11" s="26" t="b">
        <v>0</v>
      </c>
      <c r="P11" s="26" t="b">
        <v>0</v>
      </c>
      <c r="Q11" s="26" t="b">
        <v>0</v>
      </c>
      <c r="R11" s="32" t="b">
        <v>1</v>
      </c>
      <c r="T11" s="82" t="s">
        <v>10</v>
      </c>
      <c r="U11" s="26" t="b">
        <v>1</v>
      </c>
      <c r="V11" s="32" t="b">
        <v>1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1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0</v>
      </c>
    </row>
    <row r="13">
      <c r="A13" s="128"/>
      <c r="B13" s="79" t="s">
        <v>49</v>
      </c>
      <c r="C13" s="26" t="b">
        <v>1</v>
      </c>
      <c r="D13" s="26" t="b">
        <v>1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1</v>
      </c>
      <c r="M13" s="26" t="b">
        <v>1</v>
      </c>
      <c r="N13" s="26" t="b">
        <v>1</v>
      </c>
      <c r="O13" s="26" t="b">
        <v>1</v>
      </c>
      <c r="P13" s="26" t="b">
        <v>0</v>
      </c>
      <c r="Q13" s="26" t="b">
        <v>1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1</v>
      </c>
      <c r="D14" s="26" t="b">
        <v>1</v>
      </c>
      <c r="E14" s="26" t="b">
        <v>0</v>
      </c>
      <c r="F14" s="26" t="b">
        <v>1</v>
      </c>
      <c r="G14" s="26" t="b">
        <v>1</v>
      </c>
      <c r="H14" s="26" t="b">
        <v>1</v>
      </c>
      <c r="I14" s="32" t="b">
        <v>0</v>
      </c>
      <c r="J14" s="30"/>
      <c r="K14" s="81" t="str">
        <f t="shared" si="5"/>
        <v>7 hours sleep</v>
      </c>
      <c r="L14" s="26" t="b">
        <v>0</v>
      </c>
      <c r="M14" s="26" t="b">
        <v>1</v>
      </c>
      <c r="N14" s="26" t="b">
        <v>1</v>
      </c>
      <c r="O14" s="26" t="b">
        <v>1</v>
      </c>
      <c r="P14" s="26" t="b">
        <v>1</v>
      </c>
      <c r="Q14" s="26" t="b">
        <v>1</v>
      </c>
      <c r="R14" s="32" t="b">
        <v>1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0</v>
      </c>
      <c r="D15" s="26" t="b">
        <v>0</v>
      </c>
      <c r="E15" s="26" t="b">
        <v>0</v>
      </c>
      <c r="F15" s="26" t="b">
        <v>1</v>
      </c>
      <c r="G15" s="26" t="b">
        <v>0</v>
      </c>
      <c r="H15" s="26" t="b">
        <v>1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1</v>
      </c>
      <c r="N15" s="26" t="b">
        <v>1</v>
      </c>
      <c r="O15" s="26" t="b">
        <v>0</v>
      </c>
      <c r="P15" s="26" t="b">
        <v>1</v>
      </c>
      <c r="Q15" s="26" t="b">
        <v>1</v>
      </c>
      <c r="R15" s="32" t="b">
        <v>0</v>
      </c>
      <c r="T15" s="82" t="s">
        <v>18</v>
      </c>
      <c r="U15" s="26" t="b">
        <v>1</v>
      </c>
      <c r="V15" s="32" t="b">
        <v>0</v>
      </c>
    </row>
    <row r="16">
      <c r="A16" s="128"/>
      <c r="B16" s="79" t="s">
        <v>23</v>
      </c>
      <c r="C16" s="26" t="b">
        <v>0</v>
      </c>
      <c r="D16" s="26" t="b">
        <v>1</v>
      </c>
      <c r="E16" s="26" t="b">
        <v>0</v>
      </c>
      <c r="F16" s="26" t="b">
        <v>1</v>
      </c>
      <c r="G16" s="26" t="b">
        <v>1</v>
      </c>
      <c r="H16" s="26" t="b">
        <v>0</v>
      </c>
      <c r="I16" s="32" t="b">
        <v>1</v>
      </c>
      <c r="J16" s="30"/>
      <c r="K16" s="81" t="str">
        <f t="shared" si="5"/>
        <v>Read (~20 min)</v>
      </c>
      <c r="L16" s="26" t="b">
        <v>1</v>
      </c>
      <c r="M16" s="26" t="b">
        <v>1</v>
      </c>
      <c r="N16" s="26" t="b">
        <v>1</v>
      </c>
      <c r="O16" s="26" t="b">
        <v>0</v>
      </c>
      <c r="P16" s="26" t="b">
        <v>1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0</v>
      </c>
      <c r="D17" s="26" t="b">
        <v>1</v>
      </c>
      <c r="E17" s="26" t="b">
        <v>0</v>
      </c>
      <c r="F17" s="26" t="b">
        <v>1</v>
      </c>
      <c r="G17" s="26" t="b">
        <v>0</v>
      </c>
      <c r="H17" s="26" t="b">
        <v>0</v>
      </c>
      <c r="I17" s="32" t="b">
        <v>1</v>
      </c>
      <c r="J17" s="30"/>
      <c r="K17" s="81" t="str">
        <f t="shared" si="5"/>
        <v>Vitamins</v>
      </c>
      <c r="L17" s="26" t="b">
        <v>1</v>
      </c>
      <c r="M17" s="26" t="b">
        <v>1</v>
      </c>
      <c r="N17" s="26" t="b">
        <v>0</v>
      </c>
      <c r="O17" s="26" t="b">
        <v>0</v>
      </c>
      <c r="P17" s="26" t="b">
        <v>0</v>
      </c>
      <c r="Q17" s="26" t="b">
        <v>1</v>
      </c>
      <c r="R17" s="32" t="b">
        <v>0</v>
      </c>
      <c r="T17" s="82" t="s">
        <v>22</v>
      </c>
      <c r="U17" s="26" t="b">
        <v>1</v>
      </c>
      <c r="V17" s="32" t="b">
        <v>0</v>
      </c>
      <c r="X17" s="82" t="s">
        <v>28</v>
      </c>
      <c r="Y17" s="32" t="b">
        <v>1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1</v>
      </c>
      <c r="J18" s="30"/>
      <c r="K18" s="81" t="str">
        <f t="shared" si="5"/>
        <v>Duolingo</v>
      </c>
      <c r="L18" s="26" t="b">
        <v>1</v>
      </c>
      <c r="M18" s="26" t="b">
        <v>1</v>
      </c>
      <c r="N18" s="26" t="b">
        <v>1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1</v>
      </c>
      <c r="V18" s="39" t="b">
        <v>1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0.4166666667</v>
      </c>
      <c r="D19" s="44">
        <f t="shared" si="6"/>
        <v>0.5833333333</v>
      </c>
      <c r="E19" s="44">
        <f t="shared" si="6"/>
        <v>0.25</v>
      </c>
      <c r="F19" s="44">
        <f t="shared" si="6"/>
        <v>0.4166666667</v>
      </c>
      <c r="G19" s="44">
        <f t="shared" si="6"/>
        <v>0.3333333333</v>
      </c>
      <c r="H19" s="44">
        <f t="shared" si="6"/>
        <v>0.3333333333</v>
      </c>
      <c r="I19" s="45">
        <f t="shared" si="6"/>
        <v>0.6666666667</v>
      </c>
      <c r="J19" s="21"/>
      <c r="K19" s="134" t="s">
        <v>27</v>
      </c>
      <c r="L19" s="135">
        <f t="shared" ref="L19:R19" si="7">COUNTIF(L7:L18,True)/COUNTA(L7:L18)</f>
        <v>0.8333333333</v>
      </c>
      <c r="M19" s="135">
        <f t="shared" si="7"/>
        <v>0.9166666667</v>
      </c>
      <c r="N19" s="135">
        <f t="shared" si="7"/>
        <v>0.75</v>
      </c>
      <c r="O19" s="135">
        <f t="shared" si="7"/>
        <v>0.3333333333</v>
      </c>
      <c r="P19" s="135">
        <f t="shared" si="7"/>
        <v>0.4166666667</v>
      </c>
      <c r="Q19" s="135">
        <f t="shared" si="7"/>
        <v>0.4166666667</v>
      </c>
      <c r="R19" s="135">
        <f t="shared" si="7"/>
        <v>0.3333333333</v>
      </c>
      <c r="T19" s="88" t="s">
        <v>27</v>
      </c>
      <c r="U19" s="44">
        <f t="shared" ref="U19:V19" si="8">COUNTIF(U9:U18,True)/COUNTA(U9:U18)</f>
        <v>0.9</v>
      </c>
      <c r="V19" s="45">
        <f t="shared" si="8"/>
        <v>0.5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X20" s="82" t="s">
        <v>32</v>
      </c>
      <c r="Y20" s="32" t="b">
        <v>1</v>
      </c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X21" s="85" t="s">
        <v>34</v>
      </c>
      <c r="Y21" s="32" t="b">
        <v>0</v>
      </c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0.6</v>
      </c>
      <c r="Z22" s="56"/>
    </row>
    <row r="23">
      <c r="A23" s="127"/>
      <c r="B23" s="139" t="s">
        <v>35</v>
      </c>
      <c r="C23" s="97">
        <f>R5+1</f>
        <v>45089</v>
      </c>
      <c r="D23" s="108">
        <f t="shared" ref="D23:I23" si="9">C23+1</f>
        <v>45090</v>
      </c>
      <c r="E23" s="108">
        <f t="shared" si="9"/>
        <v>45091</v>
      </c>
      <c r="F23" s="108">
        <f t="shared" si="9"/>
        <v>45092</v>
      </c>
      <c r="G23" s="108">
        <f t="shared" si="9"/>
        <v>45093</v>
      </c>
      <c r="H23" s="108">
        <f t="shared" si="9"/>
        <v>45094</v>
      </c>
      <c r="I23" s="111">
        <f t="shared" si="9"/>
        <v>45095</v>
      </c>
      <c r="J23" s="52"/>
      <c r="K23" s="110" t="s">
        <v>36</v>
      </c>
      <c r="L23" s="108">
        <f>I23+1</f>
        <v>45096</v>
      </c>
      <c r="M23" s="108">
        <f t="shared" ref="M23:R23" si="10">L23+1</f>
        <v>45097</v>
      </c>
      <c r="N23" s="108">
        <f t="shared" si="10"/>
        <v>45098</v>
      </c>
      <c r="O23" s="108">
        <f t="shared" si="10"/>
        <v>45099</v>
      </c>
      <c r="P23" s="108">
        <f t="shared" si="10"/>
        <v>45100</v>
      </c>
      <c r="Q23" s="108">
        <f t="shared" si="10"/>
        <v>45101</v>
      </c>
      <c r="R23" s="111">
        <f t="shared" si="10"/>
        <v>45102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1</v>
      </c>
      <c r="D25" s="26" t="b">
        <v>1</v>
      </c>
      <c r="E25" s="26" t="b">
        <v>1</v>
      </c>
      <c r="F25" s="28" t="b">
        <v>1</v>
      </c>
      <c r="G25" s="27" t="b">
        <v>0</v>
      </c>
      <c r="H25" s="26" t="b">
        <v>1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0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0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1</v>
      </c>
      <c r="F27" s="28" t="b">
        <v>0</v>
      </c>
      <c r="G27" s="27" t="b">
        <v>0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0</v>
      </c>
      <c r="P27" s="26" t="b">
        <v>1</v>
      </c>
      <c r="Q27" s="26" t="b">
        <v>0</v>
      </c>
      <c r="R27" s="32" t="b">
        <v>1</v>
      </c>
      <c r="T27" s="82" t="s">
        <v>12</v>
      </c>
      <c r="U27" s="26" t="b">
        <v>0</v>
      </c>
      <c r="V27" s="32" t="b">
        <v>1</v>
      </c>
    </row>
    <row r="28">
      <c r="A28" s="127"/>
      <c r="B28" s="82" t="str">
        <f t="shared" si="13"/>
        <v>Eat in</v>
      </c>
      <c r="C28" s="26" t="b">
        <v>1</v>
      </c>
      <c r="D28" s="26" t="b">
        <v>1</v>
      </c>
      <c r="E28" s="26" t="b">
        <v>0</v>
      </c>
      <c r="F28" s="27" t="b">
        <v>0</v>
      </c>
      <c r="G28" s="26" t="b">
        <v>0</v>
      </c>
      <c r="H28" s="26" t="b">
        <v>0</v>
      </c>
      <c r="I28" s="29" t="b">
        <v>0</v>
      </c>
      <c r="J28" s="30"/>
      <c r="K28" s="81" t="str">
        <f t="shared" si="14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32" t="b">
        <v>1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1</v>
      </c>
      <c r="E29" s="26" t="b">
        <v>1</v>
      </c>
      <c r="F29" s="27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1</v>
      </c>
      <c r="M29" s="26" t="b">
        <v>0</v>
      </c>
      <c r="N29" s="26" t="b">
        <v>0</v>
      </c>
      <c r="O29" s="26" t="b">
        <v>1</v>
      </c>
      <c r="P29" s="26" t="b">
        <v>1</v>
      </c>
      <c r="Q29" s="26" t="b">
        <v>0</v>
      </c>
      <c r="R29" s="32" t="b">
        <v>1</v>
      </c>
      <c r="T29" s="82" t="s">
        <v>16</v>
      </c>
      <c r="U29" s="26" t="b">
        <v>0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1</v>
      </c>
      <c r="D30" s="26" t="b">
        <v>1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32" t="b">
        <v>1</v>
      </c>
      <c r="T30" s="82" t="s">
        <v>18</v>
      </c>
      <c r="U30" s="26" t="b">
        <v>1</v>
      </c>
      <c r="V30" s="32" t="b">
        <v>1</v>
      </c>
    </row>
    <row r="31">
      <c r="A31" s="127"/>
      <c r="B31" s="82" t="str">
        <f t="shared" si="13"/>
        <v>Water (3L)</v>
      </c>
      <c r="C31" s="26" t="b">
        <v>1</v>
      </c>
      <c r="D31" s="26" t="b">
        <v>0</v>
      </c>
      <c r="E31" s="26" t="b">
        <v>1</v>
      </c>
      <c r="F31" s="26" t="b">
        <v>1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32" t="b">
        <v>1</v>
      </c>
      <c r="T31" s="82" t="s">
        <v>20</v>
      </c>
      <c r="U31" s="26" t="b">
        <v>0</v>
      </c>
      <c r="V31" s="32" t="b">
        <v>1</v>
      </c>
    </row>
    <row r="32">
      <c r="A32" s="127"/>
      <c r="B32" s="82" t="str">
        <f t="shared" si="13"/>
        <v>7 hours sleep</v>
      </c>
      <c r="C32" s="26" t="b">
        <v>1</v>
      </c>
      <c r="D32" s="26" t="b">
        <v>0</v>
      </c>
      <c r="E32" s="27" t="b">
        <v>0</v>
      </c>
      <c r="F32" s="27" t="b">
        <v>0</v>
      </c>
      <c r="G32" s="27" t="b">
        <v>0</v>
      </c>
      <c r="H32" s="26" t="b">
        <v>0</v>
      </c>
      <c r="I32" s="32" t="b">
        <v>0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1</v>
      </c>
      <c r="O32" s="26" t="b">
        <v>1</v>
      </c>
      <c r="P32" s="26" t="b">
        <v>1</v>
      </c>
      <c r="Q32" s="26" t="b">
        <v>1</v>
      </c>
      <c r="R32" s="32" t="b">
        <v>1</v>
      </c>
      <c r="T32" s="82" t="s">
        <v>22</v>
      </c>
      <c r="U32" s="26" t="b">
        <v>0</v>
      </c>
      <c r="V32" s="32" t="b">
        <v>1</v>
      </c>
    </row>
    <row r="33">
      <c r="A33" s="127"/>
      <c r="B33" s="82" t="str">
        <f t="shared" si="13"/>
        <v>Clean (~20 min)</v>
      </c>
      <c r="C33" s="26" t="b">
        <v>1</v>
      </c>
      <c r="D33" s="26" t="b">
        <v>0</v>
      </c>
      <c r="E33" s="26" t="b">
        <v>1</v>
      </c>
      <c r="F33" s="26" t="b">
        <v>1</v>
      </c>
      <c r="G33" s="26" t="b">
        <v>0</v>
      </c>
      <c r="H33" s="26" t="b">
        <v>0</v>
      </c>
      <c r="I33" s="32" t="b">
        <v>0</v>
      </c>
      <c r="J33" s="30"/>
      <c r="K33" s="81" t="str">
        <f t="shared" si="14"/>
        <v>Clean (~20 min)</v>
      </c>
      <c r="L33" s="26" t="b">
        <v>1</v>
      </c>
      <c r="M33" s="26" t="b">
        <v>0</v>
      </c>
      <c r="N33" s="26" t="b">
        <v>1</v>
      </c>
      <c r="O33" s="26" t="b">
        <v>0</v>
      </c>
      <c r="P33" s="26" t="b">
        <v>1</v>
      </c>
      <c r="Q33" s="26" t="b">
        <v>1</v>
      </c>
      <c r="R33" s="32" t="b">
        <v>1</v>
      </c>
      <c r="T33" s="85" t="s">
        <v>24</v>
      </c>
      <c r="U33" s="38" t="b">
        <v>1</v>
      </c>
      <c r="V33" s="39" t="b">
        <v>0</v>
      </c>
    </row>
    <row r="34">
      <c r="A34" s="127"/>
      <c r="B34" s="82" t="str">
        <f t="shared" si="13"/>
        <v>Read (~20 min)</v>
      </c>
      <c r="C34" s="26" t="b">
        <v>1</v>
      </c>
      <c r="D34" s="26" t="b">
        <v>1</v>
      </c>
      <c r="E34" s="26" t="b">
        <v>1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1</v>
      </c>
      <c r="N34" s="26" t="b">
        <v>1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0.3</v>
      </c>
      <c r="V34" s="69">
        <f t="shared" si="15"/>
        <v>0.8</v>
      </c>
    </row>
    <row r="35">
      <c r="A35" s="133"/>
      <c r="B35" s="81" t="str">
        <f t="shared" si="13"/>
        <v>Vitamins</v>
      </c>
      <c r="C35" s="26" t="b">
        <v>1</v>
      </c>
      <c r="D35" s="26" t="b">
        <v>1</v>
      </c>
      <c r="E35" s="26" t="b">
        <v>1</v>
      </c>
      <c r="F35" s="27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4"/>
        <v>Vitamins</v>
      </c>
      <c r="L35" s="26" t="b">
        <v>1</v>
      </c>
      <c r="M35" s="26" t="b">
        <v>0</v>
      </c>
      <c r="N35" s="26" t="b">
        <v>1</v>
      </c>
      <c r="O35" s="26" t="b">
        <v>1</v>
      </c>
      <c r="P35" s="26" t="b">
        <v>0</v>
      </c>
      <c r="Q35" s="26" t="b">
        <v>1</v>
      </c>
      <c r="R35" s="32" t="b">
        <v>1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9" t="str">
        <f>IFERROR(__xludf.DUMMYFUNCTION("SPARKLINE(V34,{""charttype"",""bar"";""max"",1;""min"",0;""color1"",IF(V34&gt;0.7,""green"",IF(V34&gt;0.5,""yellow"",""red""))})"),"")</f>
        <v/>
      </c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IFERROR(__xludf.DUMMYFUNCTION("SPARKLINE((U34+V34)/2,{""charttype"",""bar"";""max"",1;""min"",0;""color1"",IF((U34+V34)/2&gt;0.7,""green"",IF((U34+V34)/2&gt;0.5,""yellow"",""red""))})"),"")</f>
        <v/>
      </c>
      <c r="V36" s="41"/>
    </row>
    <row r="37">
      <c r="A37" s="127"/>
      <c r="B37" s="88" t="s">
        <v>27</v>
      </c>
      <c r="C37" s="44">
        <f t="shared" ref="C37:I37" si="16">COUNTIF(C25:C36,True)/COUNTA(C25:C36)</f>
        <v>0.75</v>
      </c>
      <c r="D37" s="44">
        <f t="shared" si="16"/>
        <v>0.5833333333</v>
      </c>
      <c r="E37" s="44">
        <f t="shared" si="16"/>
        <v>0.5833333333</v>
      </c>
      <c r="F37" s="44">
        <f t="shared" si="16"/>
        <v>0.25</v>
      </c>
      <c r="G37" s="44">
        <f t="shared" si="16"/>
        <v>0</v>
      </c>
      <c r="H37" s="44">
        <f t="shared" si="16"/>
        <v>0.08333333333</v>
      </c>
      <c r="I37" s="45">
        <f t="shared" si="16"/>
        <v>0</v>
      </c>
      <c r="J37" s="21"/>
      <c r="K37" s="134" t="s">
        <v>27</v>
      </c>
      <c r="L37" s="135">
        <f t="shared" ref="L37:R37" si="17">COUNTIF(L25:L35,True)/COUNTA(L25:L35)</f>
        <v>0.4545454545</v>
      </c>
      <c r="M37" s="135">
        <f t="shared" si="17"/>
        <v>0.2727272727</v>
      </c>
      <c r="N37" s="135">
        <f t="shared" si="17"/>
        <v>0.4545454545</v>
      </c>
      <c r="O37" s="135">
        <f t="shared" si="17"/>
        <v>0.2727272727</v>
      </c>
      <c r="P37" s="135">
        <f t="shared" si="17"/>
        <v>0.3636363636</v>
      </c>
      <c r="Q37" s="135">
        <f t="shared" si="17"/>
        <v>0.2727272727</v>
      </c>
      <c r="R37" s="92">
        <f t="shared" si="17"/>
        <v>0.7272727273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9">
    <mergeCell ref="C39:I39"/>
    <mergeCell ref="L39:R39"/>
    <mergeCell ref="D2:R3"/>
    <mergeCell ref="S2:S3"/>
    <mergeCell ref="X16:Y16"/>
    <mergeCell ref="C21:I21"/>
    <mergeCell ref="L21:R21"/>
    <mergeCell ref="U21:V21"/>
    <mergeCell ref="U36:V3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0.5537190083</v>
      </c>
    </row>
    <row r="3">
      <c r="A3" s="120"/>
      <c r="B3" s="8">
        <v>45108.0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309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June2023!X9</f>
        <v>1956</v>
      </c>
    </row>
    <row r="5">
      <c r="A5" s="124"/>
      <c r="B5" s="96" t="s">
        <v>1</v>
      </c>
      <c r="C5" s="97">
        <f>June2023!R23+1</f>
        <v>45103</v>
      </c>
      <c r="D5" s="98">
        <f t="shared" ref="D5:I5" si="1">C5+1</f>
        <v>45104</v>
      </c>
      <c r="E5" s="98">
        <f t="shared" si="1"/>
        <v>45105</v>
      </c>
      <c r="F5" s="98">
        <f t="shared" si="1"/>
        <v>45106</v>
      </c>
      <c r="G5" s="98">
        <f t="shared" si="1"/>
        <v>45107</v>
      </c>
      <c r="H5" s="98">
        <f t="shared" si="1"/>
        <v>45108</v>
      </c>
      <c r="I5" s="125">
        <f t="shared" si="1"/>
        <v>45109</v>
      </c>
      <c r="J5" s="17"/>
      <c r="K5" s="126" t="s">
        <v>2</v>
      </c>
      <c r="L5" s="98">
        <f>I5+1</f>
        <v>45110</v>
      </c>
      <c r="M5" s="98">
        <f t="shared" ref="M5:R5" si="2">L5+1</f>
        <v>45111</v>
      </c>
      <c r="N5" s="98">
        <f t="shared" si="2"/>
        <v>45112</v>
      </c>
      <c r="O5" s="98">
        <f t="shared" si="2"/>
        <v>45113</v>
      </c>
      <c r="P5" s="98">
        <f t="shared" si="2"/>
        <v>45114</v>
      </c>
      <c r="Q5" s="98">
        <f t="shared" si="2"/>
        <v>45115</v>
      </c>
      <c r="R5" s="125">
        <f t="shared" si="2"/>
        <v>45116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1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1</v>
      </c>
      <c r="O7" s="26" t="b">
        <v>1</v>
      </c>
      <c r="P7" s="26" t="b">
        <v>0</v>
      </c>
      <c r="Q7" s="26" t="b">
        <v>1</v>
      </c>
      <c r="R7" s="32" t="b"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45131</v>
      </c>
      <c r="AA8" s="108">
        <f t="shared" ref="AA8:AF8" si="6">Z8+1</f>
        <v>45132</v>
      </c>
      <c r="AB8" s="108">
        <f t="shared" si="6"/>
        <v>45133</v>
      </c>
      <c r="AC8" s="108">
        <f t="shared" si="6"/>
        <v>45134</v>
      </c>
      <c r="AD8" s="108">
        <f t="shared" si="6"/>
        <v>45135</v>
      </c>
      <c r="AE8" s="108">
        <f t="shared" si="6"/>
        <v>45136</v>
      </c>
      <c r="AF8" s="111">
        <f t="shared" si="6"/>
        <v>45137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0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1</v>
      </c>
      <c r="O9" s="26" t="b">
        <v>1</v>
      </c>
      <c r="P9" s="26" t="b">
        <v>1</v>
      </c>
      <c r="Q9" s="26" t="b">
        <v>1</v>
      </c>
      <c r="R9" s="32" t="b">
        <v>1</v>
      </c>
      <c r="T9" s="82" t="s">
        <v>6</v>
      </c>
      <c r="U9" s="26" t="b">
        <v>0</v>
      </c>
      <c r="V9" s="32" t="b">
        <v>1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1</v>
      </c>
      <c r="D10" s="26" t="b">
        <v>0</v>
      </c>
      <c r="E10" s="26" t="b">
        <v>1</v>
      </c>
      <c r="F10" s="26" t="b">
        <v>0</v>
      </c>
      <c r="G10" s="26" t="b">
        <v>0</v>
      </c>
      <c r="H10" s="26" t="b">
        <v>1</v>
      </c>
      <c r="I10" s="32" t="b">
        <v>1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1</v>
      </c>
      <c r="T10" s="82" t="s">
        <v>8</v>
      </c>
      <c r="U10" s="26" t="b">
        <v>0</v>
      </c>
      <c r="V10" s="32" t="b">
        <v>1</v>
      </c>
      <c r="Y10" s="81" t="str">
        <f t="shared" ref="Y10:Y20" si="8">K7</f>
        <v>Exercise</v>
      </c>
      <c r="Z10" s="26" t="b">
        <v>1</v>
      </c>
      <c r="AA10" s="26" t="b">
        <v>1</v>
      </c>
      <c r="AB10" s="26" t="b">
        <v>1</v>
      </c>
      <c r="AC10" s="26" t="b">
        <v>1</v>
      </c>
      <c r="AD10" s="26" t="b">
        <v>1</v>
      </c>
      <c r="AE10" s="26" t="b">
        <v>1</v>
      </c>
      <c r="AF10" s="29" t="b">
        <v>0</v>
      </c>
      <c r="AG10" s="133"/>
    </row>
    <row r="11">
      <c r="A11" s="132"/>
      <c r="B11" s="95" t="s">
        <v>13</v>
      </c>
      <c r="C11" s="26" t="b">
        <v>1</v>
      </c>
      <c r="D11" s="26" t="b">
        <v>1</v>
      </c>
      <c r="E11" s="26" t="b">
        <v>1</v>
      </c>
      <c r="F11" s="26" t="b">
        <v>1</v>
      </c>
      <c r="G11" s="26" t="b">
        <v>1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1</v>
      </c>
      <c r="O11" s="26" t="b">
        <v>1</v>
      </c>
      <c r="P11" s="26" t="b">
        <v>0</v>
      </c>
      <c r="Q11" s="26" t="b">
        <v>0</v>
      </c>
      <c r="R11" s="32" t="b">
        <v>1</v>
      </c>
      <c r="T11" s="82" t="s">
        <v>10</v>
      </c>
      <c r="U11" s="26" t="b">
        <v>0</v>
      </c>
      <c r="V11" s="32" t="b">
        <v>1</v>
      </c>
      <c r="Y11" s="81" t="str">
        <f t="shared" si="8"/>
        <v>Stretch/Yoga (&gt;20min)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29" t="b">
        <v>0</v>
      </c>
      <c r="AG11" s="133"/>
    </row>
    <row r="12">
      <c r="A12" s="127"/>
      <c r="B12" s="82" t="s">
        <v>37</v>
      </c>
      <c r="C12" s="26" t="b">
        <v>0</v>
      </c>
      <c r="D12" s="26" t="b">
        <v>0</v>
      </c>
      <c r="E12" s="26" t="b">
        <v>1</v>
      </c>
      <c r="F12" s="26" t="b">
        <v>1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1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1</v>
      </c>
      <c r="Y12" s="81" t="str">
        <f t="shared" si="8"/>
        <v>Social Media (&lt;limit)</v>
      </c>
      <c r="Z12" s="26" t="b">
        <v>0</v>
      </c>
      <c r="AA12" s="26" t="b">
        <v>1</v>
      </c>
      <c r="AB12" s="26" t="b">
        <v>1</v>
      </c>
      <c r="AC12" s="26" t="b">
        <v>1</v>
      </c>
      <c r="AD12" s="26" t="b">
        <v>1</v>
      </c>
      <c r="AE12" s="26" t="b">
        <v>0</v>
      </c>
      <c r="AF12" s="32" t="b">
        <v>1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1</v>
      </c>
      <c r="F13" s="26" t="b">
        <v>1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  <c r="Y13" s="81" t="str">
        <f t="shared" si="8"/>
        <v>Eat in</v>
      </c>
      <c r="Z13" s="26" t="b">
        <v>0</v>
      </c>
      <c r="AA13" s="26" t="b">
        <v>1</v>
      </c>
      <c r="AB13" s="26" t="b">
        <v>1</v>
      </c>
      <c r="AC13" s="26" t="b">
        <v>1</v>
      </c>
      <c r="AD13" s="26" t="b">
        <v>1</v>
      </c>
      <c r="AE13" s="26" t="b">
        <v>0</v>
      </c>
      <c r="AF13" s="32" t="b">
        <v>1</v>
      </c>
      <c r="AG13" s="133"/>
    </row>
    <row r="14">
      <c r="A14" s="128"/>
      <c r="B14" s="79" t="s">
        <v>19</v>
      </c>
      <c r="C14" s="26" t="b">
        <v>0</v>
      </c>
      <c r="D14" s="26" t="b">
        <v>0</v>
      </c>
      <c r="E14" s="26" t="b">
        <v>0</v>
      </c>
      <c r="F14" s="26" t="b">
        <v>1</v>
      </c>
      <c r="G14" s="26" t="b">
        <v>0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0</v>
      </c>
      <c r="O14" s="26" t="b">
        <v>0</v>
      </c>
      <c r="P14" s="26" t="b">
        <v>0</v>
      </c>
      <c r="Q14" s="26" t="b">
        <v>1</v>
      </c>
      <c r="R14" s="32" t="b">
        <v>0</v>
      </c>
      <c r="T14" s="82" t="s">
        <v>16</v>
      </c>
      <c r="U14" s="26" t="b">
        <v>1</v>
      </c>
      <c r="V14" s="32" t="b">
        <v>1</v>
      </c>
      <c r="Y14" s="95" t="str">
        <f t="shared" si="8"/>
        <v>Review Budget/Goals</v>
      </c>
      <c r="Z14" s="26" t="b">
        <v>1</v>
      </c>
      <c r="AA14" s="26" t="b">
        <v>0</v>
      </c>
      <c r="AB14" s="26" t="b">
        <v>1</v>
      </c>
      <c r="AC14" s="26" t="b">
        <v>1</v>
      </c>
      <c r="AD14" s="26" t="b">
        <v>0</v>
      </c>
      <c r="AE14" s="26" t="b">
        <v>0</v>
      </c>
      <c r="AF14" s="32" t="b">
        <v>1</v>
      </c>
      <c r="AG14" s="133"/>
    </row>
    <row r="15">
      <c r="A15" s="128"/>
      <c r="B15" s="79" t="s">
        <v>21</v>
      </c>
      <c r="C15" s="26" t="b">
        <v>0</v>
      </c>
      <c r="D15" s="26" t="b">
        <v>0</v>
      </c>
      <c r="E15" s="26" t="b">
        <v>0</v>
      </c>
      <c r="F15" s="26" t="b">
        <v>1</v>
      </c>
      <c r="G15" s="26" t="b">
        <v>1</v>
      </c>
      <c r="H15" s="26" t="b">
        <v>0</v>
      </c>
      <c r="I15" s="32" t="b">
        <v>0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1</v>
      </c>
      <c r="O15" s="26" t="b">
        <v>1</v>
      </c>
      <c r="P15" s="26" t="b">
        <v>0</v>
      </c>
      <c r="Q15" s="26" t="b">
        <v>0</v>
      </c>
      <c r="R15" s="32" t="b">
        <v>1</v>
      </c>
      <c r="T15" s="82" t="s">
        <v>18</v>
      </c>
      <c r="U15" s="26" t="b">
        <v>0</v>
      </c>
      <c r="V15" s="32" t="b">
        <v>0</v>
      </c>
      <c r="Y15" s="81" t="str">
        <f t="shared" si="8"/>
        <v>(2x)Brush+(1x)Floss</v>
      </c>
      <c r="Z15" s="26" t="b">
        <v>0</v>
      </c>
      <c r="AA15" s="26" t="b">
        <v>1</v>
      </c>
      <c r="AB15" s="26" t="b">
        <v>1</v>
      </c>
      <c r="AC15" s="26" t="b">
        <v>1</v>
      </c>
      <c r="AD15" s="26" t="b">
        <v>0</v>
      </c>
      <c r="AE15" s="26" t="b">
        <v>0</v>
      </c>
      <c r="AF15" s="32" t="b">
        <v>0</v>
      </c>
      <c r="AG15" s="133"/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1</v>
      </c>
      <c r="H16" s="26" t="b">
        <v>1</v>
      </c>
      <c r="I16" s="32" t="b">
        <v>1</v>
      </c>
      <c r="J16" s="30"/>
      <c r="K16" s="81" t="str">
        <f t="shared" si="5"/>
        <v>Read (~20 min)</v>
      </c>
      <c r="L16" s="26" t="b">
        <v>1</v>
      </c>
      <c r="M16" s="26" t="b">
        <v>0</v>
      </c>
      <c r="N16" s="26" t="b">
        <v>1</v>
      </c>
      <c r="O16" s="26" t="b">
        <v>1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1</v>
      </c>
      <c r="D17" s="26" t="b">
        <v>0</v>
      </c>
      <c r="E17" s="26" t="b">
        <v>1</v>
      </c>
      <c r="F17" s="26" t="b">
        <v>1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1</v>
      </c>
      <c r="O17" s="26" t="b">
        <v>1</v>
      </c>
      <c r="P17" s="26" t="b">
        <v>1</v>
      </c>
      <c r="Q17" s="26" t="b">
        <v>1</v>
      </c>
      <c r="R17" s="32" t="b">
        <v>1</v>
      </c>
      <c r="T17" s="82" t="s">
        <v>22</v>
      </c>
      <c r="U17" s="26" t="b">
        <v>1</v>
      </c>
      <c r="V17" s="32" t="b">
        <v>0</v>
      </c>
      <c r="Y17" s="81" t="str">
        <f t="shared" si="8"/>
        <v>7 hours sleep</v>
      </c>
      <c r="Z17" s="26" t="b">
        <v>1</v>
      </c>
      <c r="AA17" s="26" t="b">
        <v>1</v>
      </c>
      <c r="AB17" s="26" t="b">
        <v>1</v>
      </c>
      <c r="AC17" s="26" t="b">
        <v>1</v>
      </c>
      <c r="AD17" s="26" t="b">
        <v>1</v>
      </c>
      <c r="AE17" s="26" t="b">
        <v>0</v>
      </c>
      <c r="AF17" s="32" t="b">
        <v>1</v>
      </c>
      <c r="AG17" s="133"/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1</v>
      </c>
      <c r="Y18" s="81" t="str">
        <f t="shared" si="8"/>
        <v>Clean (~20 min)</v>
      </c>
      <c r="Z18" s="26" t="b">
        <v>1</v>
      </c>
      <c r="AA18" s="26" t="b">
        <v>0</v>
      </c>
      <c r="AB18" s="26" t="b">
        <v>0</v>
      </c>
      <c r="AC18" s="26" t="b">
        <v>0</v>
      </c>
      <c r="AD18" s="26" t="b">
        <v>1</v>
      </c>
      <c r="AE18" s="26" t="b">
        <v>1</v>
      </c>
      <c r="AF18" s="32" t="b">
        <v>1</v>
      </c>
      <c r="AG18" s="133"/>
    </row>
    <row r="19">
      <c r="A19" s="127"/>
      <c r="B19" s="88" t="s">
        <v>27</v>
      </c>
      <c r="C19" s="44">
        <f t="shared" ref="C19:I19" si="9">COUNTIF(C7:C18,True)/COUNTA(C7:C18)</f>
        <v>0.4166666667</v>
      </c>
      <c r="D19" s="44">
        <f t="shared" si="9"/>
        <v>0.25</v>
      </c>
      <c r="E19" s="44">
        <f t="shared" si="9"/>
        <v>0.5833333333</v>
      </c>
      <c r="F19" s="44">
        <f t="shared" si="9"/>
        <v>0.5</v>
      </c>
      <c r="G19" s="44">
        <f t="shared" si="9"/>
        <v>0.25</v>
      </c>
      <c r="H19" s="44">
        <f t="shared" si="9"/>
        <v>0.25</v>
      </c>
      <c r="I19" s="45">
        <f t="shared" si="9"/>
        <v>0.25</v>
      </c>
      <c r="J19" s="21"/>
      <c r="K19" s="134" t="s">
        <v>27</v>
      </c>
      <c r="L19" s="135">
        <f t="shared" ref="L19:R19" si="10">COUNTIF(L7:L18,True)/COUNTA(L7:L18)</f>
        <v>0.3333333333</v>
      </c>
      <c r="M19" s="135">
        <f t="shared" si="10"/>
        <v>0.1666666667</v>
      </c>
      <c r="N19" s="135">
        <f t="shared" si="10"/>
        <v>0.5</v>
      </c>
      <c r="O19" s="135">
        <f t="shared" si="10"/>
        <v>0.5</v>
      </c>
      <c r="P19" s="135">
        <f t="shared" si="10"/>
        <v>0.25</v>
      </c>
      <c r="Q19" s="135">
        <f t="shared" si="10"/>
        <v>0.3333333333</v>
      </c>
      <c r="R19" s="135">
        <f t="shared" si="10"/>
        <v>0.4166666667</v>
      </c>
      <c r="T19" s="88" t="s">
        <v>27</v>
      </c>
      <c r="U19" s="44">
        <f t="shared" ref="U19:V19" si="11">COUNTIF(U9:U18,True)/COUNTA(U9:U18)</f>
        <v>0.3</v>
      </c>
      <c r="V19" s="45">
        <f t="shared" si="11"/>
        <v>0.7</v>
      </c>
      <c r="Y19" s="81" t="str">
        <f t="shared" si="8"/>
        <v>Read (~20 min)</v>
      </c>
      <c r="Z19" s="26" t="b">
        <v>1</v>
      </c>
      <c r="AA19" s="26" t="b">
        <v>0</v>
      </c>
      <c r="AB19" s="26" t="b">
        <v>0</v>
      </c>
      <c r="AC19" s="26" t="b">
        <v>0</v>
      </c>
      <c r="AD19" s="26" t="b">
        <v>0</v>
      </c>
      <c r="AE19" s="26" t="b">
        <v>0</v>
      </c>
      <c r="AF19" s="29" t="b">
        <v>0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0</v>
      </c>
      <c r="AA20" s="26" t="b">
        <v>1</v>
      </c>
      <c r="AB20" s="26" t="b">
        <v>1</v>
      </c>
      <c r="AC20" s="26" t="b">
        <v>0</v>
      </c>
      <c r="AD20" s="26" t="b">
        <v>1</v>
      </c>
      <c r="AE20" s="26" t="b">
        <v>0</v>
      </c>
      <c r="AF20" s="32" t="b">
        <v>0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COUNTIF(Z10:Z20,True)/COUNTA(Z10:Z20)</f>
        <v>0.4545454545</v>
      </c>
      <c r="AA22" s="135">
        <f t="shared" si="12"/>
        <v>0.5454545455</v>
      </c>
      <c r="AB22" s="135">
        <f t="shared" si="12"/>
        <v>0.6363636364</v>
      </c>
      <c r="AC22" s="135">
        <f t="shared" si="12"/>
        <v>0.5454545455</v>
      </c>
      <c r="AD22" s="135">
        <f t="shared" si="12"/>
        <v>0.5454545455</v>
      </c>
      <c r="AE22" s="135">
        <f t="shared" si="12"/>
        <v>0.1818181818</v>
      </c>
      <c r="AF22" s="92">
        <f t="shared" si="12"/>
        <v>0.4545454545</v>
      </c>
      <c r="AG22" s="71"/>
    </row>
    <row r="23">
      <c r="A23" s="127"/>
      <c r="B23" s="139" t="s">
        <v>35</v>
      </c>
      <c r="C23" s="97">
        <f>R5+1</f>
        <v>45117</v>
      </c>
      <c r="D23" s="108">
        <f t="shared" ref="D23:I23" si="13">C23+1</f>
        <v>45118</v>
      </c>
      <c r="E23" s="108">
        <f t="shared" si="13"/>
        <v>45119</v>
      </c>
      <c r="F23" s="108">
        <f t="shared" si="13"/>
        <v>45120</v>
      </c>
      <c r="G23" s="108">
        <f t="shared" si="13"/>
        <v>45121</v>
      </c>
      <c r="H23" s="108">
        <f t="shared" si="13"/>
        <v>45122</v>
      </c>
      <c r="I23" s="111">
        <f t="shared" si="13"/>
        <v>45123</v>
      </c>
      <c r="J23" s="52"/>
      <c r="K23" s="110" t="s">
        <v>36</v>
      </c>
      <c r="L23" s="108">
        <f>I23+1</f>
        <v>45124</v>
      </c>
      <c r="M23" s="108">
        <f t="shared" ref="M23:R23" si="14">L23+1</f>
        <v>45125</v>
      </c>
      <c r="N23" s="108">
        <f t="shared" si="14"/>
        <v>45126</v>
      </c>
      <c r="O23" s="108">
        <f t="shared" si="14"/>
        <v>45127</v>
      </c>
      <c r="P23" s="108">
        <f t="shared" si="14"/>
        <v>45128</v>
      </c>
      <c r="Q23" s="108">
        <f t="shared" si="14"/>
        <v>45129</v>
      </c>
      <c r="R23" s="111">
        <f t="shared" si="14"/>
        <v>45130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1</v>
      </c>
      <c r="V24" s="26" t="b">
        <v>1</v>
      </c>
      <c r="W24" s="32" t="b">
        <v>1</v>
      </c>
      <c r="Y24" s="90" t="s">
        <v>48</v>
      </c>
      <c r="Z24" s="53" t="str">
        <f>IFERROR(__xludf.DUMMYFUNCTION("SPARKLINE((SUM(Z22:AF22)+3*AR20)/10,{""charttype"",""bar"";""max"",1;""min"",0;""color1"",IF((SUM(Z22:AF22)+3*AR20)/10&gt;0.7,""green"",IF((SUM(Z22:AF22)+3*AR20)/10&gt;0.5,""yellow"",""red""))})"),"")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1</v>
      </c>
      <c r="D25" s="26" t="b">
        <v>1</v>
      </c>
      <c r="E25" s="26" t="b">
        <v>1</v>
      </c>
      <c r="F25" s="28" t="b">
        <v>1</v>
      </c>
      <c r="G25" s="27" t="b">
        <v>0</v>
      </c>
      <c r="H25" s="26" t="b">
        <v>1</v>
      </c>
      <c r="I25" s="29" t="b">
        <v>0</v>
      </c>
      <c r="J25" s="30"/>
      <c r="K25" s="81" t="str">
        <f t="shared" ref="K25:K35" si="18">B7</f>
        <v>Exercise</v>
      </c>
      <c r="L25" s="26" t="b">
        <v>1</v>
      </c>
      <c r="M25" s="26" t="b">
        <v>1</v>
      </c>
      <c r="N25" s="26" t="b">
        <v>1</v>
      </c>
      <c r="O25" s="26" t="b">
        <v>1</v>
      </c>
      <c r="P25" s="26" t="b">
        <v>1</v>
      </c>
      <c r="Q25" s="26" t="b">
        <v>0</v>
      </c>
      <c r="R25" s="29" t="b">
        <v>0</v>
      </c>
      <c r="T25" s="82" t="s">
        <v>8</v>
      </c>
      <c r="U25" s="26" t="b">
        <v>1</v>
      </c>
      <c r="V25" s="26" t="b">
        <v>1</v>
      </c>
      <c r="W25" s="32" t="b">
        <v>1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0</v>
      </c>
      <c r="E26" s="27" t="b">
        <v>0</v>
      </c>
      <c r="F26" s="26" t="b">
        <v>1</v>
      </c>
      <c r="G26" s="26" t="b">
        <v>0</v>
      </c>
      <c r="H26" s="27" t="b">
        <v>0</v>
      </c>
      <c r="I26" s="32" t="b">
        <v>0</v>
      </c>
      <c r="J26" s="30"/>
      <c r="K26" s="81" t="str">
        <f t="shared" si="18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1</v>
      </c>
      <c r="R26" s="29" t="b">
        <v>0</v>
      </c>
      <c r="T26" s="82" t="s">
        <v>10</v>
      </c>
      <c r="U26" s="26" t="b">
        <v>1</v>
      </c>
      <c r="V26" s="26" t="b">
        <v>1</v>
      </c>
      <c r="W26" s="32" t="b">
        <v>1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6" t="b">
        <v>1</v>
      </c>
      <c r="H27" s="26" t="b">
        <v>1</v>
      </c>
      <c r="I27" s="32" t="b">
        <v>1</v>
      </c>
      <c r="J27" s="30"/>
      <c r="K27" s="81" t="str">
        <f t="shared" si="18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1</v>
      </c>
      <c r="R27" s="32" t="b">
        <v>1</v>
      </c>
      <c r="T27" s="82" t="s">
        <v>12</v>
      </c>
      <c r="U27" s="26" t="b">
        <v>1</v>
      </c>
      <c r="V27" s="26" t="b">
        <v>1</v>
      </c>
      <c r="W27" s="32" t="b">
        <v>1</v>
      </c>
      <c r="Y27" s="82" t="s">
        <v>28</v>
      </c>
      <c r="Z27" s="32" t="b">
        <v>0</v>
      </c>
      <c r="AF27" s="133"/>
      <c r="AG27" s="133"/>
    </row>
    <row r="28">
      <c r="A28" s="127"/>
      <c r="B28" s="82" t="str">
        <f t="shared" si="17"/>
        <v>Eat in</v>
      </c>
      <c r="C28" s="26" t="b">
        <v>1</v>
      </c>
      <c r="D28" s="26" t="b">
        <v>1</v>
      </c>
      <c r="E28" s="26" t="b">
        <v>1</v>
      </c>
      <c r="F28" s="26" t="b">
        <v>1</v>
      </c>
      <c r="G28" s="26" t="b">
        <v>0</v>
      </c>
      <c r="H28" s="26" t="b">
        <v>0</v>
      </c>
      <c r="I28" s="32" t="b">
        <v>1</v>
      </c>
      <c r="J28" s="30"/>
      <c r="K28" s="81" t="str">
        <f t="shared" si="18"/>
        <v>Eat in</v>
      </c>
      <c r="L28" s="26" t="b">
        <v>1</v>
      </c>
      <c r="M28" s="26" t="b">
        <v>1</v>
      </c>
      <c r="N28" s="26" t="b">
        <v>1</v>
      </c>
      <c r="O28" s="26" t="b">
        <v>1</v>
      </c>
      <c r="P28" s="26" t="b">
        <v>0</v>
      </c>
      <c r="Q28" s="26" t="b">
        <v>1</v>
      </c>
      <c r="R28" s="32" t="b">
        <v>1</v>
      </c>
      <c r="T28" s="82" t="s">
        <v>14</v>
      </c>
      <c r="U28" s="26" t="b">
        <v>0</v>
      </c>
      <c r="V28" s="26" t="b">
        <v>0</v>
      </c>
      <c r="W28" s="32" t="b">
        <v>0</v>
      </c>
      <c r="Y28" s="82" t="s">
        <v>47</v>
      </c>
      <c r="Z28" s="32" t="b">
        <v>1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0</v>
      </c>
      <c r="D29" s="26" t="b">
        <v>1</v>
      </c>
      <c r="E29" s="26" t="b">
        <v>1</v>
      </c>
      <c r="F29" s="26" t="b">
        <v>1</v>
      </c>
      <c r="G29" s="26" t="b">
        <v>0</v>
      </c>
      <c r="H29" s="26" t="b">
        <v>0</v>
      </c>
      <c r="I29" s="32" t="b">
        <v>0</v>
      </c>
      <c r="J29" s="30"/>
      <c r="K29" s="95" t="str">
        <f t="shared" si="18"/>
        <v>Review Budget/Goals</v>
      </c>
      <c r="L29" s="26" t="b">
        <v>1</v>
      </c>
      <c r="M29" s="26" t="b">
        <v>0</v>
      </c>
      <c r="N29" s="26" t="b">
        <v>1</v>
      </c>
      <c r="O29" s="26" t="b">
        <v>1</v>
      </c>
      <c r="P29" s="26" t="b">
        <v>1</v>
      </c>
      <c r="Q29" s="26" t="b">
        <v>1</v>
      </c>
      <c r="R29" s="32" t="b">
        <v>1</v>
      </c>
      <c r="T29" s="82" t="s">
        <v>16</v>
      </c>
      <c r="U29" s="26" t="b">
        <v>1</v>
      </c>
      <c r="V29" s="26" t="b">
        <v>1</v>
      </c>
      <c r="W29" s="32" t="b">
        <v>0</v>
      </c>
      <c r="Y29" s="82" t="s">
        <v>30</v>
      </c>
      <c r="Z29" s="32" t="b">
        <v>1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1</v>
      </c>
      <c r="D30" s="26" t="b">
        <v>0</v>
      </c>
      <c r="E30" s="26" t="b">
        <v>1</v>
      </c>
      <c r="F30" s="26" t="b">
        <v>1</v>
      </c>
      <c r="G30" s="27" t="b">
        <v>0</v>
      </c>
      <c r="H30" s="26" t="b">
        <v>0</v>
      </c>
      <c r="I30" s="32" t="b">
        <v>1</v>
      </c>
      <c r="J30" s="30"/>
      <c r="K30" s="81" t="str">
        <f t="shared" si="18"/>
        <v>(2x)Brush+(1x)Floss</v>
      </c>
      <c r="L30" s="26" t="b">
        <v>1</v>
      </c>
      <c r="M30" s="26" t="b">
        <v>1</v>
      </c>
      <c r="N30" s="26" t="b">
        <v>1</v>
      </c>
      <c r="O30" s="26" t="b">
        <v>1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26" t="b">
        <v>1</v>
      </c>
      <c r="W30" s="32" t="b">
        <v>0</v>
      </c>
      <c r="Y30" s="82" t="s">
        <v>32</v>
      </c>
      <c r="Z30" s="32" t="b">
        <v>1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0</v>
      </c>
      <c r="E31" s="26" t="b">
        <v>1</v>
      </c>
      <c r="F31" s="26" t="b">
        <v>1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1</v>
      </c>
      <c r="M31" s="26" t="b">
        <v>0</v>
      </c>
      <c r="N31" s="26" t="b">
        <v>1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26" t="b">
        <v>1</v>
      </c>
      <c r="W31" s="32" t="b">
        <v>1</v>
      </c>
      <c r="Y31" s="85" t="s">
        <v>34</v>
      </c>
      <c r="Z31" s="32" t="b">
        <v>1</v>
      </c>
      <c r="AF31" s="145"/>
      <c r="AG31" s="145"/>
    </row>
    <row r="32">
      <c r="A32" s="127"/>
      <c r="B32" s="82" t="str">
        <f t="shared" si="17"/>
        <v>7 hours sleep</v>
      </c>
      <c r="C32" s="26" t="b">
        <v>0</v>
      </c>
      <c r="D32" s="26" t="b">
        <v>1</v>
      </c>
      <c r="E32" s="26" t="b">
        <v>1</v>
      </c>
      <c r="F32" s="26" t="b">
        <v>0</v>
      </c>
      <c r="G32" s="26" t="b">
        <v>1</v>
      </c>
      <c r="H32" s="26" t="b">
        <v>0</v>
      </c>
      <c r="I32" s="32" t="b">
        <v>1</v>
      </c>
      <c r="J32" s="30"/>
      <c r="K32" s="81" t="str">
        <f t="shared" si="18"/>
        <v>7 hours sleep</v>
      </c>
      <c r="L32" s="26" t="b">
        <v>1</v>
      </c>
      <c r="M32" s="26" t="b">
        <v>1</v>
      </c>
      <c r="N32" s="26" t="b">
        <v>0</v>
      </c>
      <c r="O32" s="26" t="b">
        <v>0</v>
      </c>
      <c r="P32" s="26" t="b">
        <v>1</v>
      </c>
      <c r="Q32" s="26" t="b">
        <v>1</v>
      </c>
      <c r="R32" s="32" t="b">
        <v>1</v>
      </c>
      <c r="T32" s="82" t="s">
        <v>22</v>
      </c>
      <c r="U32" s="26" t="b">
        <v>1</v>
      </c>
      <c r="V32" s="26" t="b">
        <v>1</v>
      </c>
      <c r="W32" s="32" t="b">
        <v>1</v>
      </c>
      <c r="Y32" s="91" t="s">
        <v>27</v>
      </c>
      <c r="Z32" s="92">
        <f>COUNTIF(Z27:Z31,True)/COUNTA(Z27:Z31)</f>
        <v>0.8</v>
      </c>
      <c r="AF32" s="71"/>
      <c r="AG32" s="71"/>
    </row>
    <row r="33">
      <c r="A33" s="127"/>
      <c r="B33" s="82" t="str">
        <f t="shared" si="17"/>
        <v>Clean (~20 min)</v>
      </c>
      <c r="C33" s="26" t="b">
        <v>1</v>
      </c>
      <c r="D33" s="26" t="b">
        <v>0</v>
      </c>
      <c r="E33" s="26" t="b">
        <v>0</v>
      </c>
      <c r="F33" s="26" t="b">
        <v>1</v>
      </c>
      <c r="G33" s="26" t="b">
        <v>0</v>
      </c>
      <c r="H33" s="26" t="b">
        <v>1</v>
      </c>
      <c r="I33" s="32" t="b">
        <v>1</v>
      </c>
      <c r="J33" s="30"/>
      <c r="K33" s="81" t="str">
        <f t="shared" si="18"/>
        <v>Clean (~20 min)</v>
      </c>
      <c r="L33" s="26" t="b">
        <v>1</v>
      </c>
      <c r="M33" s="26" t="b">
        <v>0</v>
      </c>
      <c r="N33" s="26" t="b">
        <v>0</v>
      </c>
      <c r="O33" s="26" t="b">
        <v>1</v>
      </c>
      <c r="P33" s="26" t="b">
        <v>0</v>
      </c>
      <c r="Q33" s="26" t="b">
        <v>1</v>
      </c>
      <c r="R33" s="32" t="b">
        <v>1</v>
      </c>
      <c r="T33" s="85" t="s">
        <v>24</v>
      </c>
      <c r="U33" s="38" t="b">
        <v>1</v>
      </c>
      <c r="V33" s="38" t="b">
        <v>1</v>
      </c>
      <c r="W33" s="32" t="b">
        <v>1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0</v>
      </c>
      <c r="D34" s="26" t="b">
        <v>0</v>
      </c>
      <c r="E34" s="26" t="b">
        <v>1</v>
      </c>
      <c r="F34" s="26" t="b">
        <v>0</v>
      </c>
      <c r="G34" s="26" t="b">
        <v>0</v>
      </c>
      <c r="H34" s="26" t="b">
        <v>0</v>
      </c>
      <c r="I34" s="32" t="b">
        <v>0</v>
      </c>
      <c r="J34" s="30"/>
      <c r="K34" s="81" t="str">
        <f t="shared" si="18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W34" si="19">COUNTIF(U24:U33,True)/COUNTA(U24:U33)</f>
        <v>0.9</v>
      </c>
      <c r="V34" s="68">
        <f t="shared" si="19"/>
        <v>0.9</v>
      </c>
      <c r="W34" s="146">
        <f t="shared" si="19"/>
        <v>0.7</v>
      </c>
    </row>
    <row r="35">
      <c r="A35" s="133"/>
      <c r="B35" s="81" t="str">
        <f t="shared" si="17"/>
        <v>Vitamins</v>
      </c>
      <c r="C35" s="26" t="b">
        <v>1</v>
      </c>
      <c r="D35" s="26" t="b">
        <v>1</v>
      </c>
      <c r="E35" s="26" t="b">
        <v>1</v>
      </c>
      <c r="F35" s="26" t="b">
        <v>1</v>
      </c>
      <c r="G35" s="26" t="b">
        <v>1</v>
      </c>
      <c r="H35" s="26" t="b">
        <v>0</v>
      </c>
      <c r="I35" s="32" t="b">
        <v>1</v>
      </c>
      <c r="J35" s="30"/>
      <c r="K35" s="81" t="str">
        <f t="shared" si="18"/>
        <v>Vitamins</v>
      </c>
      <c r="L35" s="26" t="b">
        <v>1</v>
      </c>
      <c r="M35" s="26" t="b">
        <v>1</v>
      </c>
      <c r="N35" s="26" t="b">
        <v>1</v>
      </c>
      <c r="O35" s="26" t="b">
        <v>1</v>
      </c>
      <c r="P35" s="26" t="b">
        <v>0</v>
      </c>
      <c r="Q35" s="26" t="b">
        <v>0</v>
      </c>
      <c r="R35" s="32" t="b">
        <v>1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0.5</v>
      </c>
      <c r="D37" s="44">
        <f t="shared" si="20"/>
        <v>0.5</v>
      </c>
      <c r="E37" s="44">
        <f t="shared" si="20"/>
        <v>0.75</v>
      </c>
      <c r="F37" s="44">
        <f t="shared" si="20"/>
        <v>0.75</v>
      </c>
      <c r="G37" s="44">
        <f t="shared" si="20"/>
        <v>0.25</v>
      </c>
      <c r="H37" s="44">
        <f t="shared" si="20"/>
        <v>0.25</v>
      </c>
      <c r="I37" s="45">
        <f t="shared" si="20"/>
        <v>0.5</v>
      </c>
      <c r="J37" s="21"/>
      <c r="K37" s="134" t="s">
        <v>27</v>
      </c>
      <c r="L37" s="135">
        <f t="shared" ref="L37:R37" si="21">COUNTIF(L25:L35,True)/COUNTA(L25:L35)</f>
        <v>0.8181818182</v>
      </c>
      <c r="M37" s="135">
        <f t="shared" si="21"/>
        <v>0.5454545455</v>
      </c>
      <c r="N37" s="135">
        <f t="shared" si="21"/>
        <v>0.6363636364</v>
      </c>
      <c r="O37" s="135">
        <f t="shared" si="21"/>
        <v>0.6363636364</v>
      </c>
      <c r="P37" s="135">
        <f t="shared" si="21"/>
        <v>0.3636363636</v>
      </c>
      <c r="Q37" s="135">
        <f t="shared" si="21"/>
        <v>0.5454545455</v>
      </c>
      <c r="R37" s="92">
        <f t="shared" si="21"/>
        <v>0.5454545455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IFERROR(__xludf.DUMMYFUNCTION("SPARKLINE((SUM(C37:I37)+3*AH20)/10,{""charttype"",""bar"";""max"",1;""min"",0;""color1"",IF((SUM(C37:I37)+3*AH20)/10&gt;0.7,""green"",IF((SUM(C37:I37)+3*AH20)/10&gt;0.5,""yellow"",""red""))})"),"")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IFERROR(__xludf.DUMMYFUNCTION("SPARKLINE((SUM(L37:R37)+3*AI20)/10,{""charttype"",""bar"";""max"",1;""min"",0;""color1"",IF((SUM(L37:R37)+3*AI20)/10&gt;0.7,""green"",IF((SUM(L37:R37)+3*AI20)/10&gt;0.5,""yellow"",""red""))})"),"")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4.0"/>
    <col customWidth="1" min="26" max="26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45139.0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July2023!AF8+1</f>
        <v>45138</v>
      </c>
      <c r="D5" s="98">
        <f t="shared" ref="D5:I5" si="1">C5+1</f>
        <v>45139</v>
      </c>
      <c r="E5" s="98">
        <f t="shared" si="1"/>
        <v>45140</v>
      </c>
      <c r="F5" s="98">
        <f t="shared" si="1"/>
        <v>45141</v>
      </c>
      <c r="G5" s="98">
        <f t="shared" si="1"/>
        <v>45142</v>
      </c>
      <c r="H5" s="98">
        <f t="shared" si="1"/>
        <v>45143</v>
      </c>
      <c r="I5" s="125">
        <f t="shared" si="1"/>
        <v>45144</v>
      </c>
      <c r="J5" s="17"/>
      <c r="K5" s="126" t="s">
        <v>2</v>
      </c>
      <c r="L5" s="98">
        <f>I5+1</f>
        <v>45145</v>
      </c>
      <c r="M5" s="98">
        <f t="shared" ref="M5:R5" si="2">L5+1</f>
        <v>45146</v>
      </c>
      <c r="N5" s="98">
        <f t="shared" si="2"/>
        <v>45147</v>
      </c>
      <c r="O5" s="98">
        <f t="shared" si="2"/>
        <v>45148</v>
      </c>
      <c r="P5" s="98">
        <f t="shared" si="2"/>
        <v>45149</v>
      </c>
      <c r="Q5" s="98">
        <f t="shared" si="2"/>
        <v>45150</v>
      </c>
      <c r="R5" s="125">
        <f t="shared" si="2"/>
        <v>45151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0</v>
      </c>
      <c r="E7" s="26" t="b">
        <v>0</v>
      </c>
      <c r="F7" s="28" t="b">
        <v>1</v>
      </c>
      <c r="G7" s="26" t="b">
        <v>0</v>
      </c>
      <c r="H7" s="26" t="b">
        <v>1</v>
      </c>
      <c r="I7" s="32" t="b">
        <v>0</v>
      </c>
      <c r="J7" s="30"/>
      <c r="K7" s="81" t="str">
        <f t="shared" ref="K7:K18" si="5">B7</f>
        <v>Exercise</v>
      </c>
      <c r="L7" s="26" t="b">
        <v>1</v>
      </c>
      <c r="M7" s="26" t="b">
        <v>1</v>
      </c>
      <c r="N7" s="26" t="b">
        <v>0</v>
      </c>
      <c r="O7" s="26" t="b">
        <v>0</v>
      </c>
      <c r="P7" s="26" t="b">
        <v>0</v>
      </c>
      <c r="Q7" s="26" t="b">
        <v>1</v>
      </c>
      <c r="R7" s="32" t="b">
        <v>0</v>
      </c>
      <c r="X7" s="129">
        <f>(SUM(C19:I19)+3*SUM(U19:V19) + SUM(L19:R19) + SUM(C37:I37) + SUM(L37:R37) + 3*SUM(U34:V34) + 5*SUM(Y22))/45</f>
        <v>0.5248148148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244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0</v>
      </c>
      <c r="R9" s="32" t="b">
        <v>1</v>
      </c>
      <c r="T9" s="82" t="s">
        <v>6</v>
      </c>
      <c r="U9" s="26" t="b">
        <v>1</v>
      </c>
      <c r="V9" s="32" t="b">
        <v>1</v>
      </c>
      <c r="X9" s="131">
        <f>X8 + July2023!AB4</f>
        <v>2200</v>
      </c>
    </row>
    <row r="10">
      <c r="A10" s="128"/>
      <c r="B10" s="79" t="s">
        <v>11</v>
      </c>
      <c r="C10" s="26" t="b">
        <v>1</v>
      </c>
      <c r="D10" s="26" t="b">
        <v>1</v>
      </c>
      <c r="E10" s="26" t="b">
        <v>1</v>
      </c>
      <c r="F10" s="26" t="b">
        <v>0</v>
      </c>
      <c r="G10" s="26" t="b">
        <v>1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1</v>
      </c>
      <c r="M10" s="26" t="b">
        <v>0</v>
      </c>
      <c r="N10" s="26" t="b">
        <v>1</v>
      </c>
      <c r="O10" s="26" t="b">
        <v>1</v>
      </c>
      <c r="P10" s="26" t="b">
        <v>1</v>
      </c>
      <c r="Q10" s="26" t="b">
        <v>0</v>
      </c>
      <c r="R10" s="32" t="b">
        <v>1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0</v>
      </c>
      <c r="D11" s="26" t="b">
        <v>0</v>
      </c>
      <c r="E11" s="26" t="b">
        <v>1</v>
      </c>
      <c r="F11" s="26" t="b">
        <v>0</v>
      </c>
      <c r="G11" s="26" t="b">
        <v>0</v>
      </c>
      <c r="H11" s="26" t="b">
        <v>1</v>
      </c>
      <c r="I11" s="32" t="b">
        <v>1</v>
      </c>
      <c r="J11" s="30"/>
      <c r="K11" s="81" t="str">
        <f t="shared" si="5"/>
        <v>Review Budget/Goals</v>
      </c>
      <c r="L11" s="26" t="b">
        <v>0</v>
      </c>
      <c r="M11" s="26" t="b">
        <v>1</v>
      </c>
      <c r="N11" s="26" t="b">
        <v>0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0</v>
      </c>
      <c r="V11" s="32" t="b">
        <v>1</v>
      </c>
    </row>
    <row r="12">
      <c r="A12" s="127"/>
      <c r="B12" s="82" t="s">
        <v>37</v>
      </c>
      <c r="C12" s="26" t="b">
        <v>1</v>
      </c>
      <c r="D12" s="26" t="b">
        <v>1</v>
      </c>
      <c r="E12" s="26" t="b">
        <v>1</v>
      </c>
      <c r="F12" s="26" t="b">
        <v>0</v>
      </c>
      <c r="G12" s="26" t="b">
        <v>1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1</v>
      </c>
      <c r="N12" s="26" t="b">
        <v>1</v>
      </c>
      <c r="O12" s="26" t="b">
        <v>1</v>
      </c>
      <c r="P12" s="26" t="b">
        <v>1</v>
      </c>
      <c r="Q12" s="26" t="b">
        <v>0</v>
      </c>
      <c r="R12" s="32" t="b">
        <v>1</v>
      </c>
      <c r="T12" s="82" t="s">
        <v>12</v>
      </c>
      <c r="U12" s="26" t="b">
        <v>0</v>
      </c>
      <c r="V12" s="32" t="b">
        <v>0</v>
      </c>
    </row>
    <row r="13">
      <c r="A13" s="128"/>
      <c r="B13" s="79" t="s">
        <v>49</v>
      </c>
      <c r="C13" s="26" t="b">
        <v>0</v>
      </c>
      <c r="D13" s="26" t="b">
        <v>1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0</v>
      </c>
      <c r="D14" s="26" t="b">
        <v>1</v>
      </c>
      <c r="E14" s="26" t="b">
        <v>1</v>
      </c>
      <c r="F14" s="26" t="b">
        <v>1</v>
      </c>
      <c r="G14" s="26" t="b">
        <v>0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0</v>
      </c>
      <c r="P14" s="26" t="b">
        <v>0</v>
      </c>
      <c r="Q14" s="26" t="b">
        <v>0</v>
      </c>
      <c r="R14" s="32" t="b">
        <v>1</v>
      </c>
      <c r="T14" s="82" t="s">
        <v>16</v>
      </c>
      <c r="U14" s="26" t="b">
        <v>0</v>
      </c>
      <c r="V14" s="32" t="b">
        <v>1</v>
      </c>
    </row>
    <row r="15">
      <c r="A15" s="128"/>
      <c r="B15" s="79" t="s">
        <v>21</v>
      </c>
      <c r="C15" s="26" t="b">
        <v>1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0</v>
      </c>
      <c r="P15" s="26" t="b">
        <v>1</v>
      </c>
      <c r="Q15" s="26" t="b">
        <v>0</v>
      </c>
      <c r="R15" s="32" t="b">
        <v>1</v>
      </c>
      <c r="T15" s="82" t="s">
        <v>18</v>
      </c>
      <c r="U15" s="26" t="b">
        <v>0</v>
      </c>
      <c r="V15" s="32" t="b">
        <v>1</v>
      </c>
    </row>
    <row r="16">
      <c r="A16" s="128"/>
      <c r="B16" s="79" t="s">
        <v>23</v>
      </c>
      <c r="C16" s="26" t="b">
        <v>0</v>
      </c>
      <c r="D16" s="26" t="b">
        <v>1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1</v>
      </c>
      <c r="D17" s="26" t="b">
        <v>1</v>
      </c>
      <c r="E17" s="26" t="b">
        <v>1</v>
      </c>
      <c r="F17" s="26" t="b">
        <v>0</v>
      </c>
      <c r="G17" s="26" t="b">
        <v>1</v>
      </c>
      <c r="H17" s="26" t="b">
        <v>0</v>
      </c>
      <c r="I17" s="32" t="b">
        <v>1</v>
      </c>
      <c r="J17" s="30"/>
      <c r="K17" s="81" t="str">
        <f t="shared" si="5"/>
        <v>Vitamins</v>
      </c>
      <c r="L17" s="26" t="b">
        <v>1</v>
      </c>
      <c r="M17" s="26" t="b">
        <v>1</v>
      </c>
      <c r="N17" s="26" t="b">
        <v>1</v>
      </c>
      <c r="O17" s="26" t="b">
        <v>1</v>
      </c>
      <c r="P17" s="26" t="b">
        <v>1</v>
      </c>
      <c r="Q17" s="26" t="b">
        <v>0</v>
      </c>
      <c r="R17" s="32" t="b">
        <v>1</v>
      </c>
      <c r="T17" s="82" t="s">
        <v>22</v>
      </c>
      <c r="U17" s="26" t="b">
        <v>1</v>
      </c>
      <c r="V17" s="32" t="b">
        <v>1</v>
      </c>
      <c r="X17" s="82" t="s">
        <v>28</v>
      </c>
      <c r="Y17" s="32" t="b">
        <v>1</v>
      </c>
    </row>
    <row r="18">
      <c r="A18" s="133"/>
      <c r="B18" s="86" t="s">
        <v>46</v>
      </c>
      <c r="C18" s="38" t="b">
        <v>1</v>
      </c>
      <c r="D18" s="38" t="b">
        <v>0</v>
      </c>
      <c r="E18" s="38" t="b">
        <v>0</v>
      </c>
      <c r="F18" s="38" t="b">
        <v>0</v>
      </c>
      <c r="G18" s="38" t="b">
        <v>1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1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1</v>
      </c>
      <c r="V18" s="39" t="b">
        <v>1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0.5833333333</v>
      </c>
      <c r="D19" s="44">
        <f t="shared" si="6"/>
        <v>0.5833333333</v>
      </c>
      <c r="E19" s="44">
        <f t="shared" si="6"/>
        <v>0.5</v>
      </c>
      <c r="F19" s="44">
        <f t="shared" si="6"/>
        <v>0.25</v>
      </c>
      <c r="G19" s="44">
        <f t="shared" si="6"/>
        <v>0.4166666667</v>
      </c>
      <c r="H19" s="44">
        <f t="shared" si="6"/>
        <v>0.3333333333</v>
      </c>
      <c r="I19" s="45">
        <f t="shared" si="6"/>
        <v>0.4166666667</v>
      </c>
      <c r="J19" s="21"/>
      <c r="K19" s="134" t="s">
        <v>27</v>
      </c>
      <c r="L19" s="135">
        <f t="shared" ref="L19:R19" si="7">COUNTIF(L7:L18,True)/COUNTA(L7:L18)</f>
        <v>0.5833333333</v>
      </c>
      <c r="M19" s="135">
        <f t="shared" si="7"/>
        <v>0.5</v>
      </c>
      <c r="N19" s="135">
        <f t="shared" si="7"/>
        <v>0.5</v>
      </c>
      <c r="O19" s="135">
        <f t="shared" si="7"/>
        <v>0.3333333333</v>
      </c>
      <c r="P19" s="135">
        <f t="shared" si="7"/>
        <v>0.4166666667</v>
      </c>
      <c r="Q19" s="135">
        <f t="shared" si="7"/>
        <v>0.08333333333</v>
      </c>
      <c r="R19" s="135">
        <f t="shared" si="7"/>
        <v>0.5</v>
      </c>
      <c r="T19" s="88" t="s">
        <v>27</v>
      </c>
      <c r="U19" s="44">
        <f t="shared" ref="U19:V19" si="8">COUNTIF(U9:U18,True)/COUNTA(U9:U18)</f>
        <v>0.5</v>
      </c>
      <c r="V19" s="45">
        <f t="shared" si="8"/>
        <v>0.8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X20" s="82" t="s">
        <v>32</v>
      </c>
      <c r="Y20" s="32" t="b">
        <v>1</v>
      </c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X21" s="85" t="s">
        <v>34</v>
      </c>
      <c r="Y21" s="32" t="b">
        <v>0</v>
      </c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0.6</v>
      </c>
      <c r="Z22" s="56"/>
    </row>
    <row r="23">
      <c r="A23" s="127"/>
      <c r="B23" s="139" t="s">
        <v>35</v>
      </c>
      <c r="C23" s="97">
        <f>R5+1</f>
        <v>45152</v>
      </c>
      <c r="D23" s="108">
        <f t="shared" ref="D23:I23" si="9">C23+1</f>
        <v>45153</v>
      </c>
      <c r="E23" s="108">
        <f t="shared" si="9"/>
        <v>45154</v>
      </c>
      <c r="F23" s="108">
        <f t="shared" si="9"/>
        <v>45155</v>
      </c>
      <c r="G23" s="108">
        <f t="shared" si="9"/>
        <v>45156</v>
      </c>
      <c r="H23" s="108">
        <f t="shared" si="9"/>
        <v>45157</v>
      </c>
      <c r="I23" s="111">
        <f t="shared" si="9"/>
        <v>45158</v>
      </c>
      <c r="J23" s="52"/>
      <c r="K23" s="110" t="s">
        <v>36</v>
      </c>
      <c r="L23" s="108">
        <f>I23+1</f>
        <v>45159</v>
      </c>
      <c r="M23" s="108">
        <f t="shared" ref="M23:R23" si="10">L23+1</f>
        <v>45160</v>
      </c>
      <c r="N23" s="108">
        <f t="shared" si="10"/>
        <v>45161</v>
      </c>
      <c r="O23" s="108">
        <f t="shared" si="10"/>
        <v>45162</v>
      </c>
      <c r="P23" s="108">
        <f t="shared" si="10"/>
        <v>45163</v>
      </c>
      <c r="Q23" s="108">
        <f t="shared" si="10"/>
        <v>45164</v>
      </c>
      <c r="R23" s="111">
        <f t="shared" si="10"/>
        <v>45165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1</v>
      </c>
      <c r="D25" s="26" t="b">
        <v>1</v>
      </c>
      <c r="E25" s="26" t="b">
        <v>1</v>
      </c>
      <c r="F25" s="28" t="b">
        <v>1</v>
      </c>
      <c r="G25" s="27" t="b">
        <v>0</v>
      </c>
      <c r="H25" s="27" t="b">
        <v>0</v>
      </c>
      <c r="I25" s="32" t="b">
        <v>1</v>
      </c>
      <c r="J25" s="30"/>
      <c r="K25" s="81" t="str">
        <f t="shared" ref="K25:K35" si="14">B7</f>
        <v>Exercise</v>
      </c>
      <c r="L25" s="26" t="b">
        <v>1</v>
      </c>
      <c r="M25" s="26" t="b">
        <v>1</v>
      </c>
      <c r="N25" s="26" t="b">
        <v>1</v>
      </c>
      <c r="O25" s="26" t="b">
        <v>1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7" t="b">
        <v>0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1</v>
      </c>
      <c r="R27" s="32" t="b">
        <v>1</v>
      </c>
      <c r="T27" s="82" t="s">
        <v>12</v>
      </c>
      <c r="U27" s="26" t="b">
        <v>0</v>
      </c>
      <c r="V27" s="32" t="b">
        <v>1</v>
      </c>
    </row>
    <row r="28">
      <c r="A28" s="127"/>
      <c r="B28" s="82" t="str">
        <f t="shared" si="13"/>
        <v>Eat in</v>
      </c>
      <c r="C28" s="26" t="b">
        <v>1</v>
      </c>
      <c r="D28" s="26" t="b">
        <v>1</v>
      </c>
      <c r="E28" s="26" t="b">
        <v>1</v>
      </c>
      <c r="F28" s="26" t="b">
        <v>1</v>
      </c>
      <c r="G28" s="26" t="b">
        <v>1</v>
      </c>
      <c r="H28" s="26" t="b">
        <v>1</v>
      </c>
      <c r="I28" s="29" t="b">
        <v>0</v>
      </c>
      <c r="J28" s="30"/>
      <c r="K28" s="81" t="str">
        <f t="shared" si="14"/>
        <v>Eat in</v>
      </c>
      <c r="L28" s="26" t="b">
        <v>1</v>
      </c>
      <c r="M28" s="26" t="b">
        <v>0</v>
      </c>
      <c r="N28" s="26" t="b">
        <v>0</v>
      </c>
      <c r="O28" s="26" t="b">
        <v>0</v>
      </c>
      <c r="P28" s="26" t="b">
        <v>1</v>
      </c>
      <c r="Q28" s="26" t="b">
        <v>1</v>
      </c>
      <c r="R28" s="32" t="b">
        <v>1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1</v>
      </c>
      <c r="D29" s="26" t="b">
        <v>1</v>
      </c>
      <c r="E29" s="26" t="b">
        <v>1</v>
      </c>
      <c r="F29" s="27" t="b">
        <v>0</v>
      </c>
      <c r="G29" s="26" t="b">
        <v>1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0</v>
      </c>
      <c r="M29" s="26" t="b">
        <v>1</v>
      </c>
      <c r="N29" s="26" t="b">
        <v>1</v>
      </c>
      <c r="O29" s="26" t="b">
        <v>0</v>
      </c>
      <c r="P29" s="26" t="b">
        <v>1</v>
      </c>
      <c r="Q29" s="26" t="b">
        <v>1</v>
      </c>
      <c r="R29" s="29" t="b">
        <v>0</v>
      </c>
      <c r="T29" s="82" t="s">
        <v>16</v>
      </c>
      <c r="U29" s="26" t="b">
        <v>0</v>
      </c>
      <c r="V29" s="32" t="b">
        <v>0</v>
      </c>
    </row>
    <row r="30">
      <c r="A30" s="127"/>
      <c r="B30" s="82" t="str">
        <f t="shared" si="13"/>
        <v>(2x)Brush+(1x)Floss</v>
      </c>
      <c r="C30" s="26" t="b">
        <v>1</v>
      </c>
      <c r="D30" s="26" t="b">
        <v>1</v>
      </c>
      <c r="E30" s="26" t="b">
        <v>1</v>
      </c>
      <c r="F30" s="26" t="b">
        <v>1</v>
      </c>
      <c r="G30" s="26" t="b">
        <v>1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1</v>
      </c>
      <c r="M30" s="26" t="b">
        <v>1</v>
      </c>
      <c r="N30" s="26" t="b">
        <v>1</v>
      </c>
      <c r="O30" s="26" t="b">
        <v>1</v>
      </c>
      <c r="P30" s="26" t="b">
        <v>0</v>
      </c>
      <c r="Q30" s="26" t="b">
        <v>1</v>
      </c>
      <c r="R30" s="32" t="b">
        <v>1</v>
      </c>
      <c r="T30" s="82" t="s">
        <v>18</v>
      </c>
      <c r="U30" s="26" t="b">
        <v>0</v>
      </c>
      <c r="V30" s="32" t="b">
        <v>0</v>
      </c>
    </row>
    <row r="31">
      <c r="A31" s="127"/>
      <c r="B31" s="82" t="str">
        <f t="shared" si="13"/>
        <v>Water (3L)</v>
      </c>
      <c r="C31" s="26" t="b">
        <v>1</v>
      </c>
      <c r="D31" s="26" t="b">
        <v>1</v>
      </c>
      <c r="E31" s="26" t="b">
        <v>1</v>
      </c>
      <c r="F31" s="26" t="b">
        <v>1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1</v>
      </c>
      <c r="M31" s="26" t="b">
        <v>0</v>
      </c>
      <c r="N31" s="26" t="b">
        <v>1</v>
      </c>
      <c r="O31" s="26" t="b">
        <v>1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1</v>
      </c>
      <c r="D32" s="26" t="b">
        <v>1</v>
      </c>
      <c r="E32" s="27" t="b">
        <v>0</v>
      </c>
      <c r="F32" s="26" t="b">
        <v>1</v>
      </c>
      <c r="G32" s="27" t="b">
        <v>0</v>
      </c>
      <c r="H32" s="26" t="b">
        <v>1</v>
      </c>
      <c r="I32" s="32" t="b">
        <v>0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0</v>
      </c>
      <c r="O32" s="26" t="b">
        <v>0</v>
      </c>
      <c r="P32" s="26" t="b">
        <v>0</v>
      </c>
      <c r="Q32" s="26" t="b">
        <v>1</v>
      </c>
      <c r="R32" s="32" t="b">
        <v>1</v>
      </c>
      <c r="T32" s="82" t="s">
        <v>22</v>
      </c>
      <c r="U32" s="26" t="b">
        <v>0</v>
      </c>
      <c r="V32" s="32" t="b">
        <v>1</v>
      </c>
    </row>
    <row r="33">
      <c r="A33" s="127"/>
      <c r="B33" s="82" t="str">
        <f t="shared" si="13"/>
        <v>Clean (~20 min)</v>
      </c>
      <c r="C33" s="26" t="b">
        <v>1</v>
      </c>
      <c r="D33" s="26" t="b">
        <v>0</v>
      </c>
      <c r="E33" s="26" t="b">
        <v>0</v>
      </c>
      <c r="F33" s="27" t="b">
        <v>0</v>
      </c>
      <c r="G33" s="26" t="b">
        <v>1</v>
      </c>
      <c r="H33" s="26" t="b">
        <v>1</v>
      </c>
      <c r="I33" s="32" t="b">
        <v>0</v>
      </c>
      <c r="J33" s="30"/>
      <c r="K33" s="81" t="str">
        <f t="shared" si="14"/>
        <v>Clean (~20 min)</v>
      </c>
      <c r="L33" s="26" t="b">
        <v>1</v>
      </c>
      <c r="M33" s="26" t="b">
        <v>0</v>
      </c>
      <c r="N33" s="26" t="b">
        <v>1</v>
      </c>
      <c r="O33" s="26" t="b">
        <v>0</v>
      </c>
      <c r="P33" s="26" t="b">
        <v>1</v>
      </c>
      <c r="Q33" s="26" t="b">
        <v>1</v>
      </c>
      <c r="R33" s="32" t="b">
        <v>1</v>
      </c>
      <c r="T33" s="85" t="s">
        <v>24</v>
      </c>
      <c r="U33" s="38" t="b">
        <v>1</v>
      </c>
      <c r="V33" s="39" t="b">
        <v>0</v>
      </c>
    </row>
    <row r="34">
      <c r="A34" s="127"/>
      <c r="B34" s="82" t="str">
        <f t="shared" si="13"/>
        <v>Read (~20 min)</v>
      </c>
      <c r="C34" s="26" t="b">
        <v>1</v>
      </c>
      <c r="D34" s="26" t="b">
        <v>0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1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0.5</v>
      </c>
      <c r="V34" s="69">
        <f t="shared" si="15"/>
        <v>0.6</v>
      </c>
    </row>
    <row r="35">
      <c r="A35" s="133"/>
      <c r="B35" s="81" t="str">
        <f t="shared" si="13"/>
        <v>Vitamins</v>
      </c>
      <c r="C35" s="26" t="b">
        <v>1</v>
      </c>
      <c r="D35" s="26" t="b">
        <v>1</v>
      </c>
      <c r="E35" s="26" t="b">
        <v>1</v>
      </c>
      <c r="F35" s="26" t="b">
        <v>1</v>
      </c>
      <c r="G35" s="26" t="b">
        <v>1</v>
      </c>
      <c r="H35" s="26" t="b">
        <v>0</v>
      </c>
      <c r="I35" s="32" t="b">
        <v>0</v>
      </c>
      <c r="J35" s="30"/>
      <c r="K35" s="81" t="str">
        <f t="shared" si="14"/>
        <v>Vitamins</v>
      </c>
      <c r="L35" s="26" t="b">
        <v>1</v>
      </c>
      <c r="M35" s="26" t="b">
        <v>1</v>
      </c>
      <c r="N35" s="26" t="b">
        <v>1</v>
      </c>
      <c r="O35" s="26" t="b">
        <v>1</v>
      </c>
      <c r="P35" s="26" t="b">
        <v>1</v>
      </c>
      <c r="Q35" s="26" t="b">
        <v>0</v>
      </c>
      <c r="R35" s="32" t="b">
        <v>1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9" t="str">
        <f>IFERROR(__xludf.DUMMYFUNCTION("SPARKLINE(V34,{""charttype"",""bar"";""max"",1;""min"",0;""color1"",IF(V34&gt;0.7,""green"",IF(V34&gt;0.5,""yellow"",""red""))})"),"")</f>
        <v/>
      </c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IFERROR(__xludf.DUMMYFUNCTION("SPARKLINE((U34+V34)/2,{""charttype"",""bar"";""max"",1;""min"",0;""color1"",IF((U34+V34)/2&gt;0.7,""green"",IF((U34+V34)/2&gt;0.5,""yellow"",""red""))})"),"")</f>
        <v/>
      </c>
      <c r="V36" s="41"/>
    </row>
    <row r="37">
      <c r="A37" s="127"/>
      <c r="B37" s="88" t="s">
        <v>27</v>
      </c>
      <c r="C37" s="44">
        <f t="shared" ref="C37:I37" si="16">COUNTIF(C25:C36,True)/COUNTA(C25:C36)</f>
        <v>0.8333333333</v>
      </c>
      <c r="D37" s="44">
        <f t="shared" si="16"/>
        <v>0.6666666667</v>
      </c>
      <c r="E37" s="44">
        <f t="shared" si="16"/>
        <v>0.5833333333</v>
      </c>
      <c r="F37" s="44">
        <f t="shared" si="16"/>
        <v>0.5833333333</v>
      </c>
      <c r="G37" s="44">
        <f t="shared" si="16"/>
        <v>0.4166666667</v>
      </c>
      <c r="H37" s="44">
        <f t="shared" si="16"/>
        <v>0.25</v>
      </c>
      <c r="I37" s="45">
        <f t="shared" si="16"/>
        <v>0.08333333333</v>
      </c>
      <c r="J37" s="21"/>
      <c r="K37" s="134" t="s">
        <v>27</v>
      </c>
      <c r="L37" s="135">
        <f t="shared" ref="L37:R37" si="17">COUNTIF(L25:L35,True)/COUNTA(L25:L35)</f>
        <v>0.7272727273</v>
      </c>
      <c r="M37" s="135">
        <f t="shared" si="17"/>
        <v>0.5454545455</v>
      </c>
      <c r="N37" s="135">
        <f t="shared" si="17"/>
        <v>0.7272727273</v>
      </c>
      <c r="O37" s="135">
        <f t="shared" si="17"/>
        <v>0.4545454545</v>
      </c>
      <c r="P37" s="135">
        <f t="shared" si="17"/>
        <v>0.4545454545</v>
      </c>
      <c r="Q37" s="135">
        <f t="shared" si="17"/>
        <v>0.5454545455</v>
      </c>
      <c r="R37" s="92">
        <f t="shared" si="17"/>
        <v>0.5454545455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9">
    <mergeCell ref="C39:I39"/>
    <mergeCell ref="L39:R39"/>
    <mergeCell ref="D2:R3"/>
    <mergeCell ref="S2:S3"/>
    <mergeCell ref="X16:Y16"/>
    <mergeCell ref="C21:I21"/>
    <mergeCell ref="L21:R21"/>
    <mergeCell ref="U21:V21"/>
    <mergeCell ref="U36:V3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45170.0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August2023!R23+1</f>
        <v>45166</v>
      </c>
      <c r="D5" s="98">
        <f t="shared" ref="D5:I5" si="1">C5+1</f>
        <v>45167</v>
      </c>
      <c r="E5" s="98">
        <f t="shared" si="1"/>
        <v>45168</v>
      </c>
      <c r="F5" s="98">
        <f t="shared" si="1"/>
        <v>45169</v>
      </c>
      <c r="G5" s="98">
        <f t="shared" si="1"/>
        <v>45170</v>
      </c>
      <c r="H5" s="98">
        <f t="shared" si="1"/>
        <v>45171</v>
      </c>
      <c r="I5" s="125">
        <f t="shared" si="1"/>
        <v>45172</v>
      </c>
      <c r="J5" s="17"/>
      <c r="K5" s="126" t="s">
        <v>2</v>
      </c>
      <c r="L5" s="98">
        <f>I5+1</f>
        <v>45173</v>
      </c>
      <c r="M5" s="98">
        <f t="shared" ref="M5:R5" si="2">L5+1</f>
        <v>45174</v>
      </c>
      <c r="N5" s="98">
        <f t="shared" si="2"/>
        <v>45175</v>
      </c>
      <c r="O5" s="98">
        <f t="shared" si="2"/>
        <v>45176</v>
      </c>
      <c r="P5" s="98">
        <f t="shared" si="2"/>
        <v>45177</v>
      </c>
      <c r="Q5" s="98">
        <f t="shared" si="2"/>
        <v>45178</v>
      </c>
      <c r="R5" s="125">
        <f t="shared" si="2"/>
        <v>45179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1</v>
      </c>
      <c r="F7" s="28" t="b">
        <v>1</v>
      </c>
      <c r="G7" s="26" t="b">
        <v>0</v>
      </c>
      <c r="H7" s="26" t="b">
        <v>0</v>
      </c>
      <c r="I7" s="32" t="b">
        <v>1</v>
      </c>
      <c r="J7" s="30"/>
      <c r="K7" s="81" t="str">
        <f t="shared" ref="K7:K18" si="5">B7</f>
        <v>Exercise</v>
      </c>
      <c r="L7" s="26" t="b">
        <v>1</v>
      </c>
      <c r="M7" s="26" t="b">
        <v>1</v>
      </c>
      <c r="N7" s="26" t="b">
        <v>1</v>
      </c>
      <c r="O7" s="26" t="b">
        <v>1</v>
      </c>
      <c r="P7" s="26" t="b">
        <v>1</v>
      </c>
      <c r="Q7" s="26" t="b">
        <v>1</v>
      </c>
      <c r="R7" s="32" t="b">
        <v>0</v>
      </c>
      <c r="X7" s="129">
        <f>(SUM(C19:I19)+3*SUM(U19:V19) + SUM(L19:R19) + SUM(C37:I37) + SUM(L37:R37) + 3*SUM(U34:V34) + 5*SUM(Y22))/45</f>
        <v>0.4208417508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197</v>
      </c>
    </row>
    <row r="9">
      <c r="A9" s="128"/>
      <c r="B9" s="79" t="s">
        <v>39</v>
      </c>
      <c r="C9" s="26" t="b">
        <v>0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1</v>
      </c>
      <c r="R9" s="32" t="b">
        <v>0</v>
      </c>
      <c r="T9" s="82" t="s">
        <v>6</v>
      </c>
      <c r="U9" s="26" t="b">
        <v>1</v>
      </c>
      <c r="V9" s="32" t="b">
        <v>1</v>
      </c>
      <c r="X9" s="131">
        <f>X8 + August2023!X9</f>
        <v>2397</v>
      </c>
    </row>
    <row r="10">
      <c r="A10" s="128"/>
      <c r="B10" s="79" t="s">
        <v>11</v>
      </c>
      <c r="C10" s="26" t="b">
        <v>0</v>
      </c>
      <c r="D10" s="26" t="b">
        <v>1</v>
      </c>
      <c r="E10" s="26" t="b">
        <v>1</v>
      </c>
      <c r="F10" s="26" t="b">
        <v>1</v>
      </c>
      <c r="G10" s="26" t="b">
        <v>1</v>
      </c>
      <c r="H10" s="26" t="b">
        <v>1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1</v>
      </c>
      <c r="O10" s="26" t="b">
        <v>1</v>
      </c>
      <c r="P10" s="26" t="b">
        <v>1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1</v>
      </c>
      <c r="D11" s="26" t="b">
        <v>1</v>
      </c>
      <c r="E11" s="26" t="b">
        <v>0</v>
      </c>
      <c r="F11" s="26" t="b">
        <v>1</v>
      </c>
      <c r="G11" s="26" t="b">
        <v>0</v>
      </c>
      <c r="H11" s="26" t="b">
        <v>1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1</v>
      </c>
      <c r="O11" s="26" t="b">
        <v>1</v>
      </c>
      <c r="P11" s="26" t="b">
        <v>1</v>
      </c>
      <c r="Q11" s="26" t="b">
        <v>1</v>
      </c>
      <c r="R11" s="32" t="b">
        <v>1</v>
      </c>
      <c r="T11" s="82" t="s">
        <v>10</v>
      </c>
      <c r="U11" s="26" t="b">
        <v>1</v>
      </c>
      <c r="V11" s="32" t="b">
        <v>0</v>
      </c>
    </row>
    <row r="12">
      <c r="A12" s="127"/>
      <c r="B12" s="82" t="s">
        <v>37</v>
      </c>
      <c r="C12" s="26" t="b">
        <v>0</v>
      </c>
      <c r="D12" s="26" t="b">
        <v>1</v>
      </c>
      <c r="E12" s="26" t="b">
        <v>1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1</v>
      </c>
      <c r="N12" s="26" t="b">
        <v>1</v>
      </c>
      <c r="O12" s="26" t="b">
        <v>1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0</v>
      </c>
    </row>
    <row r="13">
      <c r="A13" s="128"/>
      <c r="B13" s="79" t="s">
        <v>49</v>
      </c>
      <c r="C13" s="26" t="b">
        <v>0</v>
      </c>
      <c r="D13" s="26" t="b">
        <v>1</v>
      </c>
      <c r="E13" s="26" t="b">
        <v>1</v>
      </c>
      <c r="F13" s="26" t="b">
        <v>0</v>
      </c>
      <c r="G13" s="26" t="b">
        <v>1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1</v>
      </c>
      <c r="M13" s="26" t="b">
        <v>1</v>
      </c>
      <c r="N13" s="26" t="b">
        <v>1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0</v>
      </c>
      <c r="D14" s="26" t="b">
        <v>1</v>
      </c>
      <c r="E14" s="26" t="b">
        <v>1</v>
      </c>
      <c r="F14" s="26" t="b">
        <v>1</v>
      </c>
      <c r="G14" s="26" t="b">
        <v>1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1</v>
      </c>
      <c r="P14" s="26" t="b">
        <v>0</v>
      </c>
      <c r="Q14" s="26" t="b">
        <v>1</v>
      </c>
      <c r="R14" s="32" t="b">
        <v>0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1</v>
      </c>
      <c r="D15" s="26" t="b">
        <v>1</v>
      </c>
      <c r="E15" s="26" t="b">
        <v>1</v>
      </c>
      <c r="F15" s="26" t="b">
        <v>0</v>
      </c>
      <c r="G15" s="26" t="b">
        <v>1</v>
      </c>
      <c r="H15" s="26" t="b">
        <v>1</v>
      </c>
      <c r="I15" s="32" t="b">
        <v>1</v>
      </c>
      <c r="J15" s="30"/>
      <c r="K15" s="81" t="str">
        <f t="shared" si="5"/>
        <v>Clean (~20 min)</v>
      </c>
      <c r="L15" s="26" t="b">
        <v>0</v>
      </c>
      <c r="M15" s="26" t="b">
        <v>1</v>
      </c>
      <c r="N15" s="26" t="b">
        <v>1</v>
      </c>
      <c r="O15" s="26" t="b">
        <v>0</v>
      </c>
      <c r="P15" s="26" t="b">
        <v>1</v>
      </c>
      <c r="Q15" s="26" t="b">
        <v>0</v>
      </c>
      <c r="R15" s="32" t="b">
        <v>1</v>
      </c>
      <c r="T15" s="82" t="s">
        <v>18</v>
      </c>
      <c r="U15" s="26" t="b">
        <v>1</v>
      </c>
      <c r="V15" s="32" t="b">
        <v>0</v>
      </c>
    </row>
    <row r="16">
      <c r="A16" s="128"/>
      <c r="B16" s="79" t="s">
        <v>23</v>
      </c>
      <c r="C16" s="26" t="b">
        <v>0</v>
      </c>
      <c r="D16" s="26" t="b">
        <v>1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1</v>
      </c>
      <c r="N16" s="26" t="b">
        <v>1</v>
      </c>
      <c r="O16" s="26" t="b">
        <v>1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0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1</v>
      </c>
      <c r="D17" s="26" t="b">
        <v>1</v>
      </c>
      <c r="E17" s="26" t="b">
        <v>1</v>
      </c>
      <c r="F17" s="26" t="b">
        <v>1</v>
      </c>
      <c r="G17" s="26" t="b">
        <v>1</v>
      </c>
      <c r="H17" s="26" t="b">
        <v>0</v>
      </c>
      <c r="I17" s="32" t="b">
        <v>1</v>
      </c>
      <c r="J17" s="30"/>
      <c r="K17" s="81" t="str">
        <f t="shared" si="5"/>
        <v>Vitamins</v>
      </c>
      <c r="L17" s="26" t="b">
        <v>1</v>
      </c>
      <c r="M17" s="26" t="b">
        <v>1</v>
      </c>
      <c r="N17" s="26" t="b">
        <v>1</v>
      </c>
      <c r="O17" s="26" t="b">
        <v>1</v>
      </c>
      <c r="P17" s="26" t="b">
        <v>1</v>
      </c>
      <c r="Q17" s="26" t="b">
        <v>1</v>
      </c>
      <c r="R17" s="32" t="b">
        <v>0</v>
      </c>
      <c r="T17" s="82" t="s">
        <v>22</v>
      </c>
      <c r="U17" s="26" t="b">
        <v>0</v>
      </c>
      <c r="V17" s="32" t="b">
        <v>1</v>
      </c>
      <c r="X17" s="82" t="s">
        <v>28</v>
      </c>
      <c r="Y17" s="32" t="b">
        <v>0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1</v>
      </c>
      <c r="V18" s="39" t="b">
        <v>1</v>
      </c>
      <c r="X18" s="82" t="s">
        <v>47</v>
      </c>
      <c r="Y18" s="32" t="b">
        <v>1</v>
      </c>
    </row>
    <row r="19">
      <c r="A19" s="127"/>
      <c r="B19" s="88" t="s">
        <v>27</v>
      </c>
      <c r="C19" s="44">
        <f t="shared" ref="C19:I19" si="6">COUNTIF(C7:C18,True)/COUNTA(C7:C18)</f>
        <v>0.3333333333</v>
      </c>
      <c r="D19" s="44">
        <f t="shared" si="6"/>
        <v>0.8333333333</v>
      </c>
      <c r="E19" s="44">
        <f t="shared" si="6"/>
        <v>0.6666666667</v>
      </c>
      <c r="F19" s="44">
        <f t="shared" si="6"/>
        <v>0.5</v>
      </c>
      <c r="G19" s="44">
        <f t="shared" si="6"/>
        <v>0.5</v>
      </c>
      <c r="H19" s="44">
        <f t="shared" si="6"/>
        <v>0.4166666667</v>
      </c>
      <c r="I19" s="45">
        <f t="shared" si="6"/>
        <v>0.5833333333</v>
      </c>
      <c r="J19" s="21"/>
      <c r="K19" s="89" t="s">
        <v>27</v>
      </c>
      <c r="L19" s="44">
        <f t="shared" ref="L19:R19" si="7">COUNTIF(L7:L18,True)/COUNTA(L7:L18)</f>
        <v>0.6666666667</v>
      </c>
      <c r="M19" s="44">
        <f t="shared" si="7"/>
        <v>0.8333333333</v>
      </c>
      <c r="N19" s="44">
        <f t="shared" si="7"/>
        <v>0.8333333333</v>
      </c>
      <c r="O19" s="44">
        <f t="shared" si="7"/>
        <v>0.6666666667</v>
      </c>
      <c r="P19" s="44">
        <f t="shared" si="7"/>
        <v>0.5</v>
      </c>
      <c r="Q19" s="44">
        <f t="shared" si="7"/>
        <v>0.4166666667</v>
      </c>
      <c r="R19" s="44">
        <f t="shared" si="7"/>
        <v>0.1666666667</v>
      </c>
      <c r="T19" s="88" t="s">
        <v>27</v>
      </c>
      <c r="U19" s="44">
        <f t="shared" ref="U19:V19" si="8">COUNTIF(U9:U18,True)/COUNTA(U9:U18)</f>
        <v>0.7</v>
      </c>
      <c r="V19" s="45">
        <f t="shared" si="8"/>
        <v>0.6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0.6</v>
      </c>
      <c r="Z22" s="56"/>
      <c r="AA22" s="56"/>
    </row>
    <row r="23">
      <c r="A23" s="127"/>
      <c r="B23" s="107" t="s">
        <v>35</v>
      </c>
      <c r="C23" s="97">
        <f>R5+1</f>
        <v>45180</v>
      </c>
      <c r="D23" s="108">
        <f t="shared" ref="D23:I23" si="9">C23+1</f>
        <v>45181</v>
      </c>
      <c r="E23" s="108">
        <f t="shared" si="9"/>
        <v>45182</v>
      </c>
      <c r="F23" s="108">
        <f t="shared" si="9"/>
        <v>45183</v>
      </c>
      <c r="G23" s="108">
        <f t="shared" si="9"/>
        <v>45184</v>
      </c>
      <c r="H23" s="108">
        <f t="shared" si="9"/>
        <v>45185</v>
      </c>
      <c r="I23" s="111">
        <f t="shared" si="9"/>
        <v>45186</v>
      </c>
      <c r="J23" s="52"/>
      <c r="K23" s="110" t="s">
        <v>36</v>
      </c>
      <c r="L23" s="108">
        <f>I23+1</f>
        <v>45187</v>
      </c>
      <c r="M23" s="108">
        <f t="shared" ref="M23:R23" si="10">L23+1</f>
        <v>45188</v>
      </c>
      <c r="N23" s="108">
        <f t="shared" si="10"/>
        <v>45189</v>
      </c>
      <c r="O23" s="108">
        <f t="shared" si="10"/>
        <v>45190</v>
      </c>
      <c r="P23" s="108">
        <f t="shared" si="10"/>
        <v>45191</v>
      </c>
      <c r="Q23" s="108">
        <f t="shared" si="10"/>
        <v>45192</v>
      </c>
      <c r="R23" s="111">
        <f t="shared" si="10"/>
        <v>45193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0</v>
      </c>
      <c r="V24" s="32" t="b">
        <v>0</v>
      </c>
    </row>
    <row r="25">
      <c r="A25" s="127"/>
      <c r="B25" s="82" t="str">
        <f t="shared" ref="B25:B36" si="13">B7</f>
        <v>Exercise</v>
      </c>
      <c r="C25" s="26" t="b">
        <v>1</v>
      </c>
      <c r="D25" s="26" t="b">
        <v>1</v>
      </c>
      <c r="E25" s="26" t="b">
        <v>1</v>
      </c>
      <c r="F25" s="28" t="b">
        <v>1</v>
      </c>
      <c r="G25" s="27" t="b">
        <v>0</v>
      </c>
      <c r="H25" s="26" t="b">
        <v>1</v>
      </c>
      <c r="I25" s="32" t="b">
        <v>1</v>
      </c>
      <c r="J25" s="30"/>
      <c r="K25" s="81" t="str">
        <f t="shared" ref="K25:K35" si="14">B7</f>
        <v>Exercise</v>
      </c>
      <c r="L25" s="26" t="b">
        <v>1</v>
      </c>
      <c r="M25" s="26" t="b">
        <v>1</v>
      </c>
      <c r="N25" s="26" t="b">
        <v>1</v>
      </c>
      <c r="O25" s="26" t="b">
        <v>1</v>
      </c>
      <c r="P25" s="26" t="b">
        <v>1</v>
      </c>
      <c r="Q25" s="26" t="b">
        <v>1</v>
      </c>
      <c r="R25" s="29" t="b">
        <v>0</v>
      </c>
      <c r="T25" s="82" t="s">
        <v>8</v>
      </c>
      <c r="U25" s="26" t="b">
        <v>0</v>
      </c>
      <c r="V25" s="32" t="b">
        <v>0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32" t="b">
        <v>1</v>
      </c>
      <c r="T26" s="82" t="s">
        <v>10</v>
      </c>
      <c r="U26" s="26" t="b">
        <v>0</v>
      </c>
      <c r="V26" s="32" t="b">
        <v>0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7" t="b">
        <v>0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32" t="b">
        <v>1</v>
      </c>
      <c r="T27" s="82" t="s">
        <v>12</v>
      </c>
      <c r="U27" s="26" t="b">
        <v>0</v>
      </c>
      <c r="V27" s="32" t="b">
        <v>0</v>
      </c>
    </row>
    <row r="28">
      <c r="A28" s="127"/>
      <c r="B28" s="82" t="str">
        <f t="shared" si="13"/>
        <v>Eat in</v>
      </c>
      <c r="C28" s="26" t="b">
        <v>1</v>
      </c>
      <c r="D28" s="26" t="b">
        <v>1</v>
      </c>
      <c r="E28" s="26" t="b">
        <v>1</v>
      </c>
      <c r="F28" s="27" t="b">
        <v>0</v>
      </c>
      <c r="G28" s="26" t="b">
        <v>0</v>
      </c>
      <c r="H28" s="26" t="b">
        <v>0</v>
      </c>
      <c r="I28" s="29" t="b">
        <v>0</v>
      </c>
      <c r="J28" s="30"/>
      <c r="K28" s="81" t="str">
        <f t="shared" si="14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29" t="b">
        <v>0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1</v>
      </c>
      <c r="D29" s="26" t="b">
        <v>1</v>
      </c>
      <c r="E29" s="26" t="b">
        <v>0</v>
      </c>
      <c r="F29" s="26" t="b">
        <v>1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29" t="b">
        <v>0</v>
      </c>
      <c r="T29" s="82" t="s">
        <v>16</v>
      </c>
      <c r="U29" s="26" t="b">
        <v>0</v>
      </c>
      <c r="V29" s="32" t="b">
        <v>0</v>
      </c>
    </row>
    <row r="30">
      <c r="A30" s="127"/>
      <c r="B30" s="82" t="str">
        <f t="shared" si="13"/>
        <v>(2x)Brush+(1x)Floss</v>
      </c>
      <c r="C30" s="26" t="b">
        <v>1</v>
      </c>
      <c r="D30" s="26" t="b">
        <v>1</v>
      </c>
      <c r="E30" s="26" t="b">
        <v>1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32" t="b">
        <v>0</v>
      </c>
    </row>
    <row r="31">
      <c r="A31" s="127"/>
      <c r="B31" s="82" t="str">
        <f t="shared" si="13"/>
        <v>Water (3L)</v>
      </c>
      <c r="C31" s="26" t="b">
        <v>0</v>
      </c>
      <c r="D31" s="26" t="b">
        <v>1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0</v>
      </c>
      <c r="V31" s="32" t="b">
        <v>0</v>
      </c>
    </row>
    <row r="32">
      <c r="A32" s="127"/>
      <c r="B32" s="82" t="str">
        <f t="shared" si="13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7" t="b">
        <v>0</v>
      </c>
      <c r="H32" s="26" t="b">
        <v>1</v>
      </c>
      <c r="I32" s="32" t="b">
        <v>1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1</v>
      </c>
      <c r="O32" s="26" t="b">
        <v>1</v>
      </c>
      <c r="P32" s="26" t="b">
        <v>1</v>
      </c>
      <c r="Q32" s="26" t="b">
        <v>0</v>
      </c>
      <c r="R32" s="29" t="b">
        <v>0</v>
      </c>
      <c r="T32" s="82" t="s">
        <v>22</v>
      </c>
      <c r="U32" s="26" t="b">
        <v>0</v>
      </c>
      <c r="V32" s="32" t="b">
        <v>0</v>
      </c>
    </row>
    <row r="33">
      <c r="A33" s="127"/>
      <c r="B33" s="82" t="str">
        <f t="shared" si="13"/>
        <v>Clean (~20 min)</v>
      </c>
      <c r="C33" s="26" t="b">
        <v>1</v>
      </c>
      <c r="D33" s="26" t="b">
        <v>0</v>
      </c>
      <c r="E33" s="26" t="b">
        <v>1</v>
      </c>
      <c r="F33" s="27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4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29" t="b">
        <v>0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0</v>
      </c>
      <c r="D34" s="26" t="b">
        <v>0</v>
      </c>
      <c r="E34" s="26" t="b">
        <v>1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1</v>
      </c>
      <c r="N34" s="26" t="b">
        <v>1</v>
      </c>
      <c r="O34" s="26" t="b">
        <v>1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</v>
      </c>
      <c r="V34" s="69">
        <f t="shared" si="15"/>
        <v>0</v>
      </c>
    </row>
    <row r="35">
      <c r="A35" s="133"/>
      <c r="B35" s="81" t="str">
        <f t="shared" si="13"/>
        <v>Vitamins</v>
      </c>
      <c r="C35" s="26" t="b">
        <v>1</v>
      </c>
      <c r="D35" s="26" t="b">
        <v>1</v>
      </c>
      <c r="E35" s="26" t="b">
        <v>1</v>
      </c>
      <c r="F35" s="27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4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29" t="b">
        <v>0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0.6666666667</v>
      </c>
      <c r="D37" s="44">
        <f t="shared" si="16"/>
        <v>0.6666666667</v>
      </c>
      <c r="E37" s="44">
        <f t="shared" si="16"/>
        <v>0.6666666667</v>
      </c>
      <c r="F37" s="44">
        <f t="shared" si="16"/>
        <v>0.3333333333</v>
      </c>
      <c r="G37" s="44">
        <f t="shared" si="16"/>
        <v>0</v>
      </c>
      <c r="H37" s="44">
        <f t="shared" si="16"/>
        <v>0.1666666667</v>
      </c>
      <c r="I37" s="45">
        <f t="shared" si="16"/>
        <v>0.1666666667</v>
      </c>
      <c r="J37" s="21"/>
      <c r="K37" s="89" t="s">
        <v>27</v>
      </c>
      <c r="L37" s="44">
        <f t="shared" ref="L37:R37" si="17">COUNTIF(L25:L35,True)/COUNTA(L25:L35)</f>
        <v>0.1818181818</v>
      </c>
      <c r="M37" s="44">
        <f t="shared" si="17"/>
        <v>0.2727272727</v>
      </c>
      <c r="N37" s="44">
        <f t="shared" si="17"/>
        <v>0.2727272727</v>
      </c>
      <c r="O37" s="44">
        <f t="shared" si="17"/>
        <v>0.2727272727</v>
      </c>
      <c r="P37" s="44">
        <f t="shared" si="17"/>
        <v>0.1818181818</v>
      </c>
      <c r="Q37" s="44">
        <f t="shared" si="17"/>
        <v>0.09090909091</v>
      </c>
      <c r="R37" s="45">
        <f t="shared" si="17"/>
        <v>0.1818181818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0.2236363636</v>
      </c>
    </row>
    <row r="3">
      <c r="A3" s="120"/>
      <c r="B3" s="8">
        <v>45200.0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117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September2023!X9</f>
        <v>2514</v>
      </c>
    </row>
    <row r="5">
      <c r="A5" s="124"/>
      <c r="B5" s="96" t="s">
        <v>1</v>
      </c>
      <c r="C5" s="97">
        <f>September2023!R23+1</f>
        <v>45194</v>
      </c>
      <c r="D5" s="98">
        <f t="shared" ref="D5:I5" si="1">C5+1</f>
        <v>45195</v>
      </c>
      <c r="E5" s="98">
        <f t="shared" si="1"/>
        <v>45196</v>
      </c>
      <c r="F5" s="98">
        <f t="shared" si="1"/>
        <v>45197</v>
      </c>
      <c r="G5" s="98">
        <f t="shared" si="1"/>
        <v>45198</v>
      </c>
      <c r="H5" s="98">
        <f t="shared" si="1"/>
        <v>45199</v>
      </c>
      <c r="I5" s="125">
        <f t="shared" si="1"/>
        <v>45200</v>
      </c>
      <c r="J5" s="17"/>
      <c r="K5" s="126" t="s">
        <v>2</v>
      </c>
      <c r="L5" s="98">
        <f>I5+1</f>
        <v>45201</v>
      </c>
      <c r="M5" s="98">
        <f t="shared" ref="M5:R5" si="2">L5+1</f>
        <v>45202</v>
      </c>
      <c r="N5" s="98">
        <f t="shared" si="2"/>
        <v>45203</v>
      </c>
      <c r="O5" s="98">
        <f t="shared" si="2"/>
        <v>45204</v>
      </c>
      <c r="P5" s="98">
        <f t="shared" si="2"/>
        <v>45205</v>
      </c>
      <c r="Q5" s="98">
        <f t="shared" si="2"/>
        <v>45206</v>
      </c>
      <c r="R5" s="125">
        <f t="shared" si="2"/>
        <v>45207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1</v>
      </c>
      <c r="F7" s="28" t="b">
        <v>0</v>
      </c>
      <c r="G7" s="26" t="b">
        <v>0</v>
      </c>
      <c r="H7" s="26" t="b">
        <v>1</v>
      </c>
      <c r="I7" s="32" t="b">
        <v>1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1</v>
      </c>
      <c r="F8" s="26" t="b">
        <v>1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45222</v>
      </c>
      <c r="AA8" s="108">
        <f t="shared" ref="AA8:AF8" si="6">Z8+1</f>
        <v>45223</v>
      </c>
      <c r="AB8" s="108">
        <f t="shared" si="6"/>
        <v>45224</v>
      </c>
      <c r="AC8" s="108">
        <f t="shared" si="6"/>
        <v>45225</v>
      </c>
      <c r="AD8" s="108">
        <f t="shared" si="6"/>
        <v>45226</v>
      </c>
      <c r="AE8" s="108">
        <f t="shared" si="6"/>
        <v>45227</v>
      </c>
      <c r="AF8" s="111">
        <f t="shared" si="6"/>
        <v>45228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0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1</v>
      </c>
      <c r="R9" s="32" t="b">
        <v>0</v>
      </c>
      <c r="T9" s="82" t="s">
        <v>6</v>
      </c>
      <c r="U9" s="26" t="b">
        <v>1</v>
      </c>
      <c r="V9" s="32" t="b">
        <v>0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1</v>
      </c>
      <c r="D10" s="26" t="b">
        <v>1</v>
      </c>
      <c r="E10" s="26" t="b">
        <v>1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1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0</v>
      </c>
      <c r="Y10" s="81" t="str">
        <f t="shared" ref="Y10:Y20" si="8">K7</f>
        <v>Exercise</v>
      </c>
      <c r="Z10" s="26" t="b">
        <v>0</v>
      </c>
      <c r="AA10" s="26" t="b">
        <v>0</v>
      </c>
      <c r="AB10" s="26" t="b">
        <v>0</v>
      </c>
      <c r="AC10" s="26" t="b">
        <v>0</v>
      </c>
      <c r="AD10" s="26" t="b">
        <v>0</v>
      </c>
      <c r="AE10" s="26" t="b">
        <v>0</v>
      </c>
      <c r="AF10" s="29" t="b">
        <v>0</v>
      </c>
      <c r="AG10" s="133"/>
    </row>
    <row r="11">
      <c r="A11" s="132"/>
      <c r="B11" s="95" t="s">
        <v>13</v>
      </c>
      <c r="C11" s="26" t="b">
        <v>1</v>
      </c>
      <c r="D11" s="26" t="b">
        <v>0</v>
      </c>
      <c r="E11" s="26" t="b">
        <v>0</v>
      </c>
      <c r="F11" s="26" t="b">
        <v>0</v>
      </c>
      <c r="G11" s="26" t="b">
        <v>1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1</v>
      </c>
      <c r="M11" s="26" t="b">
        <v>0</v>
      </c>
      <c r="N11" s="26" t="b">
        <v>1</v>
      </c>
      <c r="O11" s="26" t="b">
        <v>1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1</v>
      </c>
      <c r="V11" s="32" t="b">
        <v>0</v>
      </c>
      <c r="Y11" s="81" t="str">
        <f t="shared" si="8"/>
        <v>Stretch/Yoga (&gt;20min)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29" t="b">
        <v>0</v>
      </c>
      <c r="AG11" s="133"/>
    </row>
    <row r="12">
      <c r="A12" s="127"/>
      <c r="B12" s="82" t="s">
        <v>37</v>
      </c>
      <c r="C12" s="26" t="b">
        <v>1</v>
      </c>
      <c r="D12" s="26" t="b">
        <v>0</v>
      </c>
      <c r="E12" s="26" t="b">
        <v>0</v>
      </c>
      <c r="F12" s="26" t="b">
        <v>1</v>
      </c>
      <c r="G12" s="26" t="b">
        <v>0</v>
      </c>
      <c r="H12" s="26" t="b">
        <v>1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0</v>
      </c>
      <c r="N12" s="26" t="b">
        <v>1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0</v>
      </c>
      <c r="Y12" s="81" t="str">
        <f t="shared" si="8"/>
        <v>Social Media (&lt;limit)</v>
      </c>
      <c r="Z12" s="26" t="b">
        <v>0</v>
      </c>
      <c r="AA12" s="26" t="b">
        <v>0</v>
      </c>
      <c r="AB12" s="26" t="b">
        <v>0</v>
      </c>
      <c r="AC12" s="26" t="b">
        <v>0</v>
      </c>
      <c r="AD12" s="26" t="b">
        <v>0</v>
      </c>
      <c r="AE12" s="26" t="b">
        <v>0</v>
      </c>
      <c r="AF12" s="32" t="b">
        <v>0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  <c r="Y13" s="81" t="str">
        <f t="shared" si="8"/>
        <v>Eat in</v>
      </c>
      <c r="Z13" s="26" t="b">
        <v>0</v>
      </c>
      <c r="AA13" s="26" t="b">
        <v>0</v>
      </c>
      <c r="AB13" s="26" t="b">
        <v>0</v>
      </c>
      <c r="AC13" s="26" t="b">
        <v>0</v>
      </c>
      <c r="AD13" s="26" t="b">
        <v>0</v>
      </c>
      <c r="AE13" s="26" t="b">
        <v>0</v>
      </c>
      <c r="AF13" s="32" t="b">
        <v>0</v>
      </c>
      <c r="AG13" s="133"/>
    </row>
    <row r="14">
      <c r="A14" s="128"/>
      <c r="B14" s="79" t="s">
        <v>19</v>
      </c>
      <c r="C14" s="26" t="b">
        <v>1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0</v>
      </c>
      <c r="O14" s="26" t="b">
        <v>1</v>
      </c>
      <c r="P14" s="26" t="b">
        <v>0</v>
      </c>
      <c r="Q14" s="26" t="b">
        <v>0</v>
      </c>
      <c r="R14" s="32" t="b">
        <v>0</v>
      </c>
      <c r="T14" s="82" t="s">
        <v>16</v>
      </c>
      <c r="U14" s="26" t="b">
        <v>1</v>
      </c>
      <c r="V14" s="32" t="b">
        <v>0</v>
      </c>
      <c r="Y14" s="95" t="str">
        <f t="shared" si="8"/>
        <v>Review Budget/Goals</v>
      </c>
      <c r="Z14" s="26" t="b">
        <v>0</v>
      </c>
      <c r="AA14" s="26" t="b">
        <v>0</v>
      </c>
      <c r="AB14" s="26" t="b">
        <v>0</v>
      </c>
      <c r="AC14" s="26" t="b">
        <v>0</v>
      </c>
      <c r="AD14" s="26" t="b">
        <v>0</v>
      </c>
      <c r="AE14" s="26" t="b">
        <v>0</v>
      </c>
      <c r="AF14" s="32" t="b">
        <v>0</v>
      </c>
      <c r="AG14" s="133"/>
    </row>
    <row r="15">
      <c r="A15" s="128"/>
      <c r="B15" s="79" t="s">
        <v>21</v>
      </c>
      <c r="C15" s="26" t="b">
        <v>1</v>
      </c>
      <c r="D15" s="26" t="b">
        <v>1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0</v>
      </c>
      <c r="J15" s="30"/>
      <c r="K15" s="81" t="str">
        <f t="shared" si="5"/>
        <v>Clean (~20 min)</v>
      </c>
      <c r="L15" s="26" t="b">
        <v>0</v>
      </c>
      <c r="M15" s="26" t="b">
        <v>1</v>
      </c>
      <c r="N15" s="26" t="b">
        <v>1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1</v>
      </c>
      <c r="V15" s="32" t="b">
        <v>0</v>
      </c>
      <c r="Y15" s="81" t="str">
        <f t="shared" si="8"/>
        <v>(2x)Brush+(1x)Floss</v>
      </c>
      <c r="Z15" s="26" t="b">
        <v>0</v>
      </c>
      <c r="AA15" s="26" t="b">
        <v>0</v>
      </c>
      <c r="AB15" s="26" t="b">
        <v>0</v>
      </c>
      <c r="AC15" s="26" t="b">
        <v>0</v>
      </c>
      <c r="AD15" s="26" t="b">
        <v>0</v>
      </c>
      <c r="AE15" s="26" t="b">
        <v>0</v>
      </c>
      <c r="AF15" s="32" t="b">
        <v>0</v>
      </c>
      <c r="AG15" s="133"/>
    </row>
    <row r="16">
      <c r="A16" s="128"/>
      <c r="B16" s="79" t="s">
        <v>23</v>
      </c>
      <c r="C16" s="26" t="b">
        <v>0</v>
      </c>
      <c r="D16" s="26" t="b">
        <v>1</v>
      </c>
      <c r="E16" s="26" t="b">
        <v>0</v>
      </c>
      <c r="F16" s="26" t="b">
        <v>1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1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0</v>
      </c>
      <c r="V17" s="32" t="b">
        <v>1</v>
      </c>
      <c r="Y17" s="81" t="str">
        <f t="shared" si="8"/>
        <v>7 hours sleep</v>
      </c>
      <c r="Z17" s="26" t="b">
        <v>0</v>
      </c>
      <c r="AA17" s="26" t="b">
        <v>0</v>
      </c>
      <c r="AB17" s="26" t="b">
        <v>0</v>
      </c>
      <c r="AC17" s="26" t="b">
        <v>0</v>
      </c>
      <c r="AD17" s="26" t="b">
        <v>0</v>
      </c>
      <c r="AE17" s="26" t="b">
        <v>0</v>
      </c>
      <c r="AF17" s="32" t="b">
        <v>0</v>
      </c>
      <c r="AG17" s="133"/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1</v>
      </c>
      <c r="V18" s="39" t="b">
        <v>0</v>
      </c>
      <c r="Y18" s="81" t="str">
        <f t="shared" si="8"/>
        <v>Clean (~20 min)</v>
      </c>
      <c r="Z18" s="26" t="b">
        <v>0</v>
      </c>
      <c r="AA18" s="26" t="b">
        <v>0</v>
      </c>
      <c r="AB18" s="26" t="b">
        <v>0</v>
      </c>
      <c r="AC18" s="26" t="b">
        <v>0</v>
      </c>
      <c r="AD18" s="26" t="b">
        <v>0</v>
      </c>
      <c r="AE18" s="26" t="b">
        <v>0</v>
      </c>
      <c r="AF18" s="32" t="b">
        <v>0</v>
      </c>
      <c r="AG18" s="133"/>
    </row>
    <row r="19">
      <c r="A19" s="127"/>
      <c r="B19" s="88" t="s">
        <v>27</v>
      </c>
      <c r="C19" s="44">
        <f t="shared" ref="C19:I19" si="9">COUNTIF(C7:C18,True)/COUNTA(C7:C18)</f>
        <v>0.5</v>
      </c>
      <c r="D19" s="44">
        <f t="shared" si="9"/>
        <v>0.3333333333</v>
      </c>
      <c r="E19" s="44">
        <f t="shared" si="9"/>
        <v>0.3333333333</v>
      </c>
      <c r="F19" s="44">
        <f t="shared" si="9"/>
        <v>0.25</v>
      </c>
      <c r="G19" s="44">
        <f t="shared" si="9"/>
        <v>0.08333333333</v>
      </c>
      <c r="H19" s="44">
        <f t="shared" si="9"/>
        <v>0.1666666667</v>
      </c>
      <c r="I19" s="45">
        <f t="shared" si="9"/>
        <v>0.08333333333</v>
      </c>
      <c r="J19" s="21"/>
      <c r="K19" s="134" t="s">
        <v>27</v>
      </c>
      <c r="L19" s="135">
        <f t="shared" ref="L19:R19" si="10">COUNTIF(L7:L18,True)/COUNTA(L7:L18)</f>
        <v>0.3333333333</v>
      </c>
      <c r="M19" s="135">
        <f t="shared" si="10"/>
        <v>0.3333333333</v>
      </c>
      <c r="N19" s="135">
        <f t="shared" si="10"/>
        <v>0.4166666667</v>
      </c>
      <c r="O19" s="135">
        <f t="shared" si="10"/>
        <v>0.25</v>
      </c>
      <c r="P19" s="135">
        <f t="shared" si="10"/>
        <v>0.08333333333</v>
      </c>
      <c r="Q19" s="135">
        <f t="shared" si="10"/>
        <v>0.08333333333</v>
      </c>
      <c r="R19" s="135">
        <f t="shared" si="10"/>
        <v>0</v>
      </c>
      <c r="T19" s="88" t="s">
        <v>27</v>
      </c>
      <c r="U19" s="44">
        <f t="shared" ref="U19:V19" si="11">COUNTIF(U9:U18,True)/COUNTA(U9:U18)</f>
        <v>0.8</v>
      </c>
      <c r="V19" s="45">
        <f t="shared" si="11"/>
        <v>0.2</v>
      </c>
      <c r="Y19" s="81" t="str">
        <f t="shared" si="8"/>
        <v>Read (~20 min)</v>
      </c>
      <c r="Z19" s="26" t="b">
        <v>0</v>
      </c>
      <c r="AA19" s="26" t="b">
        <v>0</v>
      </c>
      <c r="AB19" s="26" t="b">
        <v>0</v>
      </c>
      <c r="AC19" s="26" t="b">
        <v>0</v>
      </c>
      <c r="AD19" s="26" t="b">
        <v>0</v>
      </c>
      <c r="AE19" s="26" t="b">
        <v>0</v>
      </c>
      <c r="AF19" s="29" t="b">
        <v>0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0</v>
      </c>
      <c r="AA20" s="26" t="b">
        <v>0</v>
      </c>
      <c r="AB20" s="26" t="b">
        <v>0</v>
      </c>
      <c r="AC20" s="26" t="b">
        <v>0</v>
      </c>
      <c r="AD20" s="26" t="b">
        <v>0</v>
      </c>
      <c r="AE20" s="26" t="b">
        <v>0</v>
      </c>
      <c r="AF20" s="32" t="b">
        <v>0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COUNTIF(Z10:Z20,True)/COUNTA(Z10:Z20)</f>
        <v>0</v>
      </c>
      <c r="AA22" s="135">
        <f t="shared" si="12"/>
        <v>0</v>
      </c>
      <c r="AB22" s="135">
        <f t="shared" si="12"/>
        <v>0</v>
      </c>
      <c r="AC22" s="135">
        <f t="shared" si="12"/>
        <v>0</v>
      </c>
      <c r="AD22" s="135">
        <f t="shared" si="12"/>
        <v>0</v>
      </c>
      <c r="AE22" s="135">
        <f t="shared" si="12"/>
        <v>0</v>
      </c>
      <c r="AF22" s="92">
        <f t="shared" si="12"/>
        <v>0</v>
      </c>
      <c r="AG22" s="71"/>
    </row>
    <row r="23">
      <c r="A23" s="127"/>
      <c r="B23" s="139" t="s">
        <v>35</v>
      </c>
      <c r="C23" s="97">
        <f>R5+1</f>
        <v>45208</v>
      </c>
      <c r="D23" s="108">
        <f t="shared" ref="D23:I23" si="13">C23+1</f>
        <v>45209</v>
      </c>
      <c r="E23" s="108">
        <f t="shared" si="13"/>
        <v>45210</v>
      </c>
      <c r="F23" s="108">
        <f t="shared" si="13"/>
        <v>45211</v>
      </c>
      <c r="G23" s="108">
        <f t="shared" si="13"/>
        <v>45212</v>
      </c>
      <c r="H23" s="108">
        <f t="shared" si="13"/>
        <v>45213</v>
      </c>
      <c r="I23" s="111">
        <f t="shared" si="13"/>
        <v>45214</v>
      </c>
      <c r="J23" s="52"/>
      <c r="K23" s="110" t="s">
        <v>36</v>
      </c>
      <c r="L23" s="108">
        <f>I23+1</f>
        <v>45215</v>
      </c>
      <c r="M23" s="108">
        <f t="shared" ref="M23:R23" si="14">L23+1</f>
        <v>45216</v>
      </c>
      <c r="N23" s="108">
        <f t="shared" si="14"/>
        <v>45217</v>
      </c>
      <c r="O23" s="108">
        <f t="shared" si="14"/>
        <v>45218</v>
      </c>
      <c r="P23" s="108">
        <f t="shared" si="14"/>
        <v>45219</v>
      </c>
      <c r="Q23" s="108">
        <f t="shared" si="14"/>
        <v>45220</v>
      </c>
      <c r="R23" s="111">
        <f t="shared" si="14"/>
        <v>45221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1</v>
      </c>
      <c r="V24" s="26" t="b">
        <v>0</v>
      </c>
      <c r="W24" s="32" t="b">
        <v>0</v>
      </c>
      <c r="Y24" s="90" t="s">
        <v>48</v>
      </c>
      <c r="Z24" s="53" t="str">
        <f>IFERROR(__xludf.DUMMYFUNCTION("SPARKLINE((SUM(Z22:AF22)+3*AR20)/10,{""charttype"",""bar"";""max"",1;""min"",0;""color1"",IF((SUM(Z22:AF22)+3*AR20)/10&gt;0.7,""green"",IF((SUM(Z22:AF22)+3*AR20)/10&gt;0.5,""yellow"",""red""))})"),"")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0</v>
      </c>
      <c r="D25" s="26" t="b">
        <v>0</v>
      </c>
      <c r="E25" s="26" t="b">
        <v>0</v>
      </c>
      <c r="F25" s="28" t="b">
        <v>0</v>
      </c>
      <c r="G25" s="27" t="b">
        <v>0</v>
      </c>
      <c r="H25" s="26" t="b">
        <v>0</v>
      </c>
      <c r="I25" s="29" t="b">
        <v>0</v>
      </c>
      <c r="J25" s="30"/>
      <c r="K25" s="81" t="str">
        <f t="shared" ref="K25:K35" si="18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26" t="b">
        <v>0</v>
      </c>
      <c r="W25" s="32" t="b">
        <v>0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0</v>
      </c>
      <c r="E26" s="27" t="b">
        <v>0</v>
      </c>
      <c r="F26" s="26" t="b">
        <v>0</v>
      </c>
      <c r="G26" s="26" t="b">
        <v>0</v>
      </c>
      <c r="H26" s="27" t="b">
        <v>0</v>
      </c>
      <c r="I26" s="32" t="b">
        <v>1</v>
      </c>
      <c r="J26" s="30"/>
      <c r="K26" s="81" t="str">
        <f t="shared" si="18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26" t="b">
        <v>0</v>
      </c>
      <c r="W26" s="32" t="b">
        <v>0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0</v>
      </c>
      <c r="D27" s="26" t="b">
        <v>1</v>
      </c>
      <c r="E27" s="26" t="b">
        <v>1</v>
      </c>
      <c r="F27" s="28" t="b">
        <v>1</v>
      </c>
      <c r="G27" s="26" t="b">
        <v>1</v>
      </c>
      <c r="H27" s="26" t="b">
        <v>1</v>
      </c>
      <c r="I27" s="32" t="b">
        <v>0</v>
      </c>
      <c r="J27" s="30"/>
      <c r="K27" s="81" t="str">
        <f t="shared" si="18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32" t="b">
        <v>0</v>
      </c>
      <c r="T27" s="82" t="s">
        <v>12</v>
      </c>
      <c r="U27" s="26" t="b">
        <v>0</v>
      </c>
      <c r="V27" s="26" t="b">
        <v>0</v>
      </c>
      <c r="W27" s="32" t="b">
        <v>0</v>
      </c>
      <c r="Y27" s="82" t="s">
        <v>28</v>
      </c>
      <c r="Z27" s="32" t="b">
        <v>0</v>
      </c>
      <c r="AF27" s="133"/>
      <c r="AG27" s="133"/>
    </row>
    <row r="28">
      <c r="A28" s="127"/>
      <c r="B28" s="82" t="str">
        <f t="shared" si="17"/>
        <v>Eat in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32" t="b">
        <v>0</v>
      </c>
      <c r="J28" s="30"/>
      <c r="K28" s="81" t="str">
        <f t="shared" si="18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32" t="b">
        <v>0</v>
      </c>
      <c r="T28" s="82" t="s">
        <v>14</v>
      </c>
      <c r="U28" s="26" t="b">
        <v>0</v>
      </c>
      <c r="V28" s="26" t="b">
        <v>0</v>
      </c>
      <c r="W28" s="32" t="b">
        <v>0</v>
      </c>
      <c r="Y28" s="82" t="s">
        <v>47</v>
      </c>
      <c r="Z28" s="32" t="b">
        <v>1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32" t="b">
        <v>1</v>
      </c>
      <c r="J29" s="30"/>
      <c r="K29" s="95" t="str">
        <f t="shared" si="18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32" t="b">
        <v>0</v>
      </c>
      <c r="T29" s="82" t="s">
        <v>16</v>
      </c>
      <c r="U29" s="26" t="b">
        <v>1</v>
      </c>
      <c r="V29" s="26" t="b">
        <v>0</v>
      </c>
      <c r="W29" s="32" t="b">
        <v>0</v>
      </c>
      <c r="Y29" s="82" t="s">
        <v>30</v>
      </c>
      <c r="Z29" s="32" t="b">
        <v>1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0</v>
      </c>
      <c r="D30" s="26" t="b">
        <v>0</v>
      </c>
      <c r="E30" s="26" t="b">
        <v>0</v>
      </c>
      <c r="F30" s="26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8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26" t="b">
        <v>0</v>
      </c>
      <c r="W30" s="32" t="b">
        <v>0</v>
      </c>
      <c r="Y30" s="82" t="s">
        <v>32</v>
      </c>
      <c r="Z30" s="32" t="b">
        <v>1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0</v>
      </c>
      <c r="E31" s="26" t="b">
        <v>0</v>
      </c>
      <c r="F31" s="26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26" t="b">
        <v>0</v>
      </c>
      <c r="W31" s="32" t="b">
        <v>0</v>
      </c>
      <c r="Y31" s="85" t="s">
        <v>34</v>
      </c>
      <c r="Z31" s="32" t="b">
        <v>0</v>
      </c>
      <c r="AF31" s="145"/>
      <c r="AG31" s="145"/>
    </row>
    <row r="32">
      <c r="A32" s="127"/>
      <c r="B32" s="82" t="str">
        <f t="shared" si="17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1</v>
      </c>
      <c r="J32" s="30"/>
      <c r="K32" s="81" t="str">
        <f t="shared" si="18"/>
        <v>7 hours sleep</v>
      </c>
      <c r="L32" s="26" t="b">
        <v>0</v>
      </c>
      <c r="M32" s="26" t="b">
        <v>0</v>
      </c>
      <c r="N32" s="26" t="b">
        <v>0</v>
      </c>
      <c r="O32" s="26" t="b">
        <v>0</v>
      </c>
      <c r="P32" s="26" t="b">
        <v>0</v>
      </c>
      <c r="Q32" s="26" t="b">
        <v>0</v>
      </c>
      <c r="R32" s="32" t="b">
        <v>0</v>
      </c>
      <c r="T32" s="82" t="s">
        <v>22</v>
      </c>
      <c r="U32" s="26" t="b">
        <v>0</v>
      </c>
      <c r="V32" s="26" t="b">
        <v>0</v>
      </c>
      <c r="W32" s="32" t="b">
        <v>0</v>
      </c>
      <c r="Y32" s="91" t="s">
        <v>27</v>
      </c>
      <c r="Z32" s="92">
        <f>COUNTIF(Z27:Z31,True)/COUNTA(Z27:Z31)</f>
        <v>0.6</v>
      </c>
      <c r="AF32" s="71"/>
      <c r="AG32" s="71"/>
    </row>
    <row r="33">
      <c r="A33" s="127"/>
      <c r="B33" s="82" t="str">
        <f t="shared" si="17"/>
        <v>Clean (~20 min)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32" t="b">
        <v>1</v>
      </c>
      <c r="J33" s="30"/>
      <c r="K33" s="81" t="str">
        <f t="shared" si="18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32" t="b">
        <v>0</v>
      </c>
      <c r="T33" s="85" t="s">
        <v>24</v>
      </c>
      <c r="U33" s="38" t="b">
        <v>0</v>
      </c>
      <c r="V33" s="38" t="b">
        <v>0</v>
      </c>
      <c r="W33" s="32" t="b">
        <v>0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32" t="b">
        <v>0</v>
      </c>
      <c r="J34" s="30"/>
      <c r="K34" s="81" t="str">
        <f t="shared" si="18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W34" si="19">COUNTIF(U24:U33,True)/COUNTA(U24:U33)</f>
        <v>0.6</v>
      </c>
      <c r="V34" s="68">
        <f t="shared" si="19"/>
        <v>0</v>
      </c>
      <c r="W34" s="146">
        <f t="shared" si="19"/>
        <v>0</v>
      </c>
    </row>
    <row r="35">
      <c r="A35" s="133"/>
      <c r="B35" s="81" t="str">
        <f t="shared" si="17"/>
        <v>Vitamins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8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32" t="b">
        <v>0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0.08333333333</v>
      </c>
      <c r="D37" s="44">
        <f t="shared" si="20"/>
        <v>0.1666666667</v>
      </c>
      <c r="E37" s="44">
        <f t="shared" si="20"/>
        <v>0.1666666667</v>
      </c>
      <c r="F37" s="44">
        <f t="shared" si="20"/>
        <v>0.1666666667</v>
      </c>
      <c r="G37" s="44">
        <f t="shared" si="20"/>
        <v>0.1666666667</v>
      </c>
      <c r="H37" s="44">
        <f t="shared" si="20"/>
        <v>0.1666666667</v>
      </c>
      <c r="I37" s="45">
        <f t="shared" si="20"/>
        <v>0.3333333333</v>
      </c>
      <c r="J37" s="21"/>
      <c r="K37" s="134" t="s">
        <v>27</v>
      </c>
      <c r="L37" s="135">
        <f t="shared" ref="L37:R37" si="21">COUNTIF(L25:L35,True)/COUNTA(L25:L35)</f>
        <v>0</v>
      </c>
      <c r="M37" s="135">
        <f t="shared" si="21"/>
        <v>0</v>
      </c>
      <c r="N37" s="135">
        <f t="shared" si="21"/>
        <v>0</v>
      </c>
      <c r="O37" s="135">
        <f t="shared" si="21"/>
        <v>0</v>
      </c>
      <c r="P37" s="135">
        <f t="shared" si="21"/>
        <v>0</v>
      </c>
      <c r="Q37" s="135">
        <f t="shared" si="21"/>
        <v>0</v>
      </c>
      <c r="R37" s="92">
        <f t="shared" si="21"/>
        <v>0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IFERROR(__xludf.DUMMYFUNCTION("SPARKLINE((SUM(C37:I37)+3*AH20)/10,{""charttype"",""bar"";""max"",1;""min"",0;""color1"",IF((SUM(C37:I37)+3*AH20)/10&gt;0.7,""green"",IF((SUM(C37:I37)+3*AH20)/10&gt;0.5,""yellow"",""red""))})"),"")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IFERROR(__xludf.DUMMYFUNCTION("SPARKLINE((SUM(L37:R37)+3*AI20)/10,{""charttype"",""bar"";""max"",1;""min"",0;""color1"",IF((SUM(L37:R37)+3*AI20)/10&gt;0.7,""green"",IF((SUM(L37:R37)+3*AI20)/10&gt;0.5,""yellow"",""red""))})"),"")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45231.0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October2023!AF8+1</f>
        <v>45229</v>
      </c>
      <c r="D5" s="98">
        <f t="shared" ref="D5:I5" si="1">C5+1</f>
        <v>45230</v>
      </c>
      <c r="E5" s="98">
        <f t="shared" si="1"/>
        <v>45231</v>
      </c>
      <c r="F5" s="98">
        <f t="shared" si="1"/>
        <v>45232</v>
      </c>
      <c r="G5" s="98">
        <f t="shared" si="1"/>
        <v>45233</v>
      </c>
      <c r="H5" s="98">
        <f t="shared" si="1"/>
        <v>45234</v>
      </c>
      <c r="I5" s="125">
        <f t="shared" si="1"/>
        <v>45235</v>
      </c>
      <c r="J5" s="17"/>
      <c r="K5" s="126" t="s">
        <v>2</v>
      </c>
      <c r="L5" s="98">
        <f>I5+1</f>
        <v>45236</v>
      </c>
      <c r="M5" s="98">
        <f t="shared" ref="M5:R5" si="2">L5+1</f>
        <v>45237</v>
      </c>
      <c r="N5" s="98">
        <f t="shared" si="2"/>
        <v>45238</v>
      </c>
      <c r="O5" s="98">
        <f t="shared" si="2"/>
        <v>45239</v>
      </c>
      <c r="P5" s="98">
        <f t="shared" si="2"/>
        <v>45240</v>
      </c>
      <c r="Q5" s="98">
        <f t="shared" si="2"/>
        <v>45241</v>
      </c>
      <c r="R5" s="125">
        <f t="shared" si="2"/>
        <v>45242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1</v>
      </c>
      <c r="E7" s="26" t="b">
        <v>1</v>
      </c>
      <c r="F7" s="28" t="b">
        <v>1</v>
      </c>
      <c r="G7" s="26" t="b">
        <v>1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1</v>
      </c>
      <c r="M7" s="26" t="b">
        <v>1</v>
      </c>
      <c r="N7" s="26" t="b">
        <v>1</v>
      </c>
      <c r="O7" s="26" t="b">
        <v>1</v>
      </c>
      <c r="P7" s="26" t="b">
        <v>1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0.4053198653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1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1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190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1</v>
      </c>
      <c r="M9" s="26" t="b">
        <v>0</v>
      </c>
      <c r="N9" s="26" t="b">
        <v>0</v>
      </c>
      <c r="O9" s="26" t="b">
        <v>1</v>
      </c>
      <c r="P9" s="26" t="b">
        <v>0</v>
      </c>
      <c r="Q9" s="26" t="b">
        <v>1</v>
      </c>
      <c r="R9" s="32" t="b">
        <v>1</v>
      </c>
      <c r="T9" s="82" t="s">
        <v>6</v>
      </c>
      <c r="U9" s="26" t="b">
        <v>1</v>
      </c>
      <c r="V9" s="32" t="b">
        <v>1</v>
      </c>
      <c r="X9" s="131">
        <f>X8 + October2023!AB4</f>
        <v>2704</v>
      </c>
    </row>
    <row r="10">
      <c r="A10" s="128"/>
      <c r="B10" s="79" t="s">
        <v>11</v>
      </c>
      <c r="C10" s="26" t="b">
        <v>1</v>
      </c>
      <c r="D10" s="26" t="b">
        <v>1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0</v>
      </c>
      <c r="O10" s="26" t="b">
        <v>1</v>
      </c>
      <c r="P10" s="26" t="b">
        <v>1</v>
      </c>
      <c r="Q10" s="26" t="b">
        <v>0</v>
      </c>
      <c r="R10" s="32" t="b">
        <v>1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0</v>
      </c>
      <c r="D11" s="26" t="b">
        <v>0</v>
      </c>
      <c r="E11" s="26" t="b">
        <v>1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1</v>
      </c>
      <c r="N11" s="26" t="b">
        <v>1</v>
      </c>
      <c r="O11" s="26" t="b">
        <v>0</v>
      </c>
      <c r="P11" s="26" t="b">
        <v>1</v>
      </c>
      <c r="Q11" s="26" t="b">
        <v>0</v>
      </c>
      <c r="R11" s="32" t="b">
        <v>0</v>
      </c>
      <c r="T11" s="82" t="s">
        <v>10</v>
      </c>
      <c r="U11" s="26" t="b">
        <v>1</v>
      </c>
      <c r="V11" s="32" t="b">
        <v>1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1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1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1</v>
      </c>
      <c r="D14" s="26" t="b">
        <v>1</v>
      </c>
      <c r="E14" s="26" t="b">
        <v>1</v>
      </c>
      <c r="F14" s="26" t="b">
        <v>1</v>
      </c>
      <c r="G14" s="26" t="b">
        <v>1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1</v>
      </c>
      <c r="P14" s="26" t="b">
        <v>1</v>
      </c>
      <c r="Q14" s="26" t="b">
        <v>1</v>
      </c>
      <c r="R14" s="32" t="b">
        <v>1</v>
      </c>
      <c r="T14" s="82" t="s">
        <v>16</v>
      </c>
      <c r="U14" s="26" t="b">
        <v>0</v>
      </c>
      <c r="V14" s="32" t="b">
        <v>0</v>
      </c>
    </row>
    <row r="15">
      <c r="A15" s="128"/>
      <c r="B15" s="79" t="s">
        <v>21</v>
      </c>
      <c r="C15" s="26" t="b">
        <v>1</v>
      </c>
      <c r="D15" s="26" t="b">
        <v>1</v>
      </c>
      <c r="E15" s="26" t="b">
        <v>0</v>
      </c>
      <c r="F15" s="26" t="b">
        <v>0</v>
      </c>
      <c r="G15" s="26" t="b">
        <v>1</v>
      </c>
      <c r="H15" s="26" t="b">
        <v>1</v>
      </c>
      <c r="I15" s="32" t="b">
        <v>0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1</v>
      </c>
      <c r="T15" s="82" t="s">
        <v>18</v>
      </c>
      <c r="U15" s="26" t="b">
        <v>0</v>
      </c>
      <c r="V15" s="32" t="b">
        <v>0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1</v>
      </c>
      <c r="N16" s="26" t="b">
        <v>0</v>
      </c>
      <c r="O16" s="26" t="b">
        <v>1</v>
      </c>
      <c r="P16" s="26" t="b">
        <v>0</v>
      </c>
      <c r="Q16" s="26" t="b">
        <v>1</v>
      </c>
      <c r="R16" s="32" t="b">
        <v>1</v>
      </c>
      <c r="T16" s="82" t="s">
        <v>20</v>
      </c>
      <c r="U16" s="26" t="b">
        <v>1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1</v>
      </c>
      <c r="D17" s="26" t="b">
        <v>1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1</v>
      </c>
      <c r="J17" s="30"/>
      <c r="K17" s="81" t="str">
        <f t="shared" si="5"/>
        <v>Vitamins</v>
      </c>
      <c r="L17" s="26" t="b">
        <v>1</v>
      </c>
      <c r="M17" s="26" t="b">
        <v>0</v>
      </c>
      <c r="N17" s="26" t="b">
        <v>0</v>
      </c>
      <c r="O17" s="26" t="b">
        <v>1</v>
      </c>
      <c r="P17" s="26" t="b">
        <v>0</v>
      </c>
      <c r="Q17" s="26" t="b">
        <v>1</v>
      </c>
      <c r="R17" s="32" t="b">
        <v>1</v>
      </c>
      <c r="T17" s="82" t="s">
        <v>22</v>
      </c>
      <c r="U17" s="26" t="b">
        <v>0</v>
      </c>
      <c r="V17" s="32" t="b">
        <v>0</v>
      </c>
      <c r="X17" s="82" t="s">
        <v>28</v>
      </c>
      <c r="Y17" s="32" t="b">
        <v>0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0.4166666667</v>
      </c>
      <c r="D19" s="44">
        <f t="shared" si="6"/>
        <v>0.5</v>
      </c>
      <c r="E19" s="44">
        <f t="shared" si="6"/>
        <v>0.3333333333</v>
      </c>
      <c r="F19" s="44">
        <f t="shared" si="6"/>
        <v>0.3333333333</v>
      </c>
      <c r="G19" s="44">
        <f t="shared" si="6"/>
        <v>0.3333333333</v>
      </c>
      <c r="H19" s="44">
        <f t="shared" si="6"/>
        <v>0.1666666667</v>
      </c>
      <c r="I19" s="45">
        <f t="shared" si="6"/>
        <v>0.1666666667</v>
      </c>
      <c r="J19" s="21"/>
      <c r="K19" s="89" t="s">
        <v>27</v>
      </c>
      <c r="L19" s="44">
        <f t="shared" ref="L19:R19" si="7">COUNTIF(L7:L18,True)/COUNTA(L7:L18)</f>
        <v>0.5</v>
      </c>
      <c r="M19" s="44">
        <f t="shared" si="7"/>
        <v>0.5</v>
      </c>
      <c r="N19" s="44">
        <f t="shared" si="7"/>
        <v>0.25</v>
      </c>
      <c r="O19" s="44">
        <f t="shared" si="7"/>
        <v>0.5833333333</v>
      </c>
      <c r="P19" s="44">
        <f t="shared" si="7"/>
        <v>0.3333333333</v>
      </c>
      <c r="Q19" s="44">
        <f t="shared" si="7"/>
        <v>0.3333333333</v>
      </c>
      <c r="R19" s="44">
        <f t="shared" si="7"/>
        <v>0.5</v>
      </c>
      <c r="T19" s="88" t="s">
        <v>27</v>
      </c>
      <c r="U19" s="44">
        <f t="shared" ref="U19:V19" si="8">COUNTIF(U9:U18,True)/COUNTA(U9:U18)</f>
        <v>0.5</v>
      </c>
      <c r="V19" s="45">
        <f t="shared" si="8"/>
        <v>0.5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0.4</v>
      </c>
      <c r="Z22" s="56"/>
      <c r="AA22" s="56"/>
    </row>
    <row r="23">
      <c r="A23" s="127"/>
      <c r="B23" s="107" t="s">
        <v>35</v>
      </c>
      <c r="C23" s="97">
        <f>R5+1</f>
        <v>45243</v>
      </c>
      <c r="D23" s="108">
        <f t="shared" ref="D23:I23" si="9">C23+1</f>
        <v>45244</v>
      </c>
      <c r="E23" s="108">
        <f t="shared" si="9"/>
        <v>45245</v>
      </c>
      <c r="F23" s="108">
        <f t="shared" si="9"/>
        <v>45246</v>
      </c>
      <c r="G23" s="108">
        <f t="shared" si="9"/>
        <v>45247</v>
      </c>
      <c r="H23" s="108">
        <f t="shared" si="9"/>
        <v>45248</v>
      </c>
      <c r="I23" s="111">
        <f t="shared" si="9"/>
        <v>45249</v>
      </c>
      <c r="J23" s="52"/>
      <c r="K23" s="110" t="s">
        <v>36</v>
      </c>
      <c r="L23" s="108">
        <f>I23+1</f>
        <v>45250</v>
      </c>
      <c r="M23" s="108">
        <f t="shared" ref="M23:R23" si="10">L23+1</f>
        <v>45251</v>
      </c>
      <c r="N23" s="108">
        <f t="shared" si="10"/>
        <v>45252</v>
      </c>
      <c r="O23" s="108">
        <f t="shared" si="10"/>
        <v>45253</v>
      </c>
      <c r="P23" s="108">
        <f t="shared" si="10"/>
        <v>45254</v>
      </c>
      <c r="Q23" s="108">
        <f t="shared" si="10"/>
        <v>45255</v>
      </c>
      <c r="R23" s="111">
        <f t="shared" si="10"/>
        <v>45256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1</v>
      </c>
      <c r="E25" s="26" t="b">
        <v>0</v>
      </c>
      <c r="F25" s="28" t="b">
        <v>1</v>
      </c>
      <c r="G25" s="26" t="b">
        <v>0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1</v>
      </c>
      <c r="M25" s="26" t="b">
        <v>1</v>
      </c>
      <c r="N25" s="26" t="b">
        <v>1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6" t="b">
        <v>1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0</v>
      </c>
      <c r="R27" s="29" t="b">
        <v>0</v>
      </c>
      <c r="T27" s="82" t="s">
        <v>12</v>
      </c>
      <c r="U27" s="26" t="b">
        <v>1</v>
      </c>
      <c r="V27" s="32" t="b">
        <v>0</v>
      </c>
    </row>
    <row r="28">
      <c r="A28" s="127"/>
      <c r="B28" s="82" t="str">
        <f t="shared" si="13"/>
        <v>Eat in</v>
      </c>
      <c r="C28" s="26" t="b">
        <v>1</v>
      </c>
      <c r="D28" s="26" t="b">
        <v>1</v>
      </c>
      <c r="E28" s="26" t="b">
        <v>1</v>
      </c>
      <c r="F28" s="26" t="b">
        <v>1</v>
      </c>
      <c r="G28" s="26" t="b">
        <v>0</v>
      </c>
      <c r="H28" s="26" t="b">
        <v>0</v>
      </c>
      <c r="I28" s="32" t="b">
        <v>1</v>
      </c>
      <c r="J28" s="30"/>
      <c r="K28" s="81" t="str">
        <f t="shared" si="14"/>
        <v>Eat in</v>
      </c>
      <c r="L28" s="26" t="b">
        <v>1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29" t="b">
        <v>0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1</v>
      </c>
      <c r="E29" s="26" t="b">
        <v>0</v>
      </c>
      <c r="F29" s="27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0</v>
      </c>
      <c r="M29" s="26" t="b">
        <v>0</v>
      </c>
      <c r="N29" s="26" t="b">
        <v>1</v>
      </c>
      <c r="O29" s="26" t="b">
        <v>1</v>
      </c>
      <c r="P29" s="26" t="b">
        <v>0</v>
      </c>
      <c r="Q29" s="26" t="b">
        <v>0</v>
      </c>
      <c r="R29" s="29" t="b">
        <v>0</v>
      </c>
      <c r="T29" s="82" t="s">
        <v>16</v>
      </c>
      <c r="U29" s="26" t="b">
        <v>0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1</v>
      </c>
      <c r="D30" s="26" t="b">
        <v>0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1</v>
      </c>
      <c r="M30" s="26" t="b">
        <v>1</v>
      </c>
      <c r="N30" s="26" t="b">
        <v>1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32" t="b">
        <v>1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1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1</v>
      </c>
      <c r="O32" s="26" t="b">
        <v>1</v>
      </c>
      <c r="P32" s="26" t="b">
        <v>1</v>
      </c>
      <c r="Q32" s="26" t="b">
        <v>1</v>
      </c>
      <c r="R32" s="32" t="b">
        <v>1</v>
      </c>
      <c r="T32" s="82" t="s">
        <v>22</v>
      </c>
      <c r="U32" s="26" t="b">
        <v>0</v>
      </c>
      <c r="V32" s="32" t="b">
        <v>0</v>
      </c>
    </row>
    <row r="33">
      <c r="A33" s="127"/>
      <c r="B33" s="82" t="str">
        <f t="shared" si="13"/>
        <v>Clean (~20 min)</v>
      </c>
      <c r="C33" s="26" t="b">
        <v>1</v>
      </c>
      <c r="D33" s="26" t="b">
        <v>0</v>
      </c>
      <c r="E33" s="26" t="b">
        <v>0</v>
      </c>
      <c r="F33" s="27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4"/>
        <v>Clean (~20 min)</v>
      </c>
      <c r="L33" s="26" t="b">
        <v>1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32" t="b">
        <v>1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1</v>
      </c>
      <c r="D34" s="26" t="b">
        <v>1</v>
      </c>
      <c r="E34" s="26" t="b">
        <v>1</v>
      </c>
      <c r="F34" s="26" t="b">
        <v>1</v>
      </c>
      <c r="G34" s="26" t="b">
        <v>1</v>
      </c>
      <c r="H34" s="26" t="b">
        <v>1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0.5</v>
      </c>
      <c r="V34" s="69">
        <f t="shared" si="15"/>
        <v>0.6</v>
      </c>
    </row>
    <row r="35">
      <c r="A35" s="133"/>
      <c r="B35" s="81" t="str">
        <f t="shared" si="13"/>
        <v>Vitamins</v>
      </c>
      <c r="C35" s="26" t="b">
        <v>1</v>
      </c>
      <c r="D35" s="26" t="b">
        <v>0</v>
      </c>
      <c r="E35" s="27" t="b">
        <v>0</v>
      </c>
      <c r="F35" s="27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4"/>
        <v>Vitamins</v>
      </c>
      <c r="L35" s="26" t="b">
        <v>0</v>
      </c>
      <c r="M35" s="26" t="b">
        <v>1</v>
      </c>
      <c r="N35" s="26" t="b">
        <v>1</v>
      </c>
      <c r="O35" s="26" t="b">
        <v>0</v>
      </c>
      <c r="P35" s="26" t="b">
        <v>0</v>
      </c>
      <c r="Q35" s="26" t="b">
        <v>0</v>
      </c>
      <c r="R35" s="29" t="b">
        <v>0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0.5833333333</v>
      </c>
      <c r="D37" s="44">
        <f t="shared" si="16"/>
        <v>0.5</v>
      </c>
      <c r="E37" s="44">
        <f t="shared" si="16"/>
        <v>0.3333333333</v>
      </c>
      <c r="F37" s="44">
        <f t="shared" si="16"/>
        <v>0.4166666667</v>
      </c>
      <c r="G37" s="44">
        <f t="shared" si="16"/>
        <v>0.25</v>
      </c>
      <c r="H37" s="44">
        <f t="shared" si="16"/>
        <v>0.1666666667</v>
      </c>
      <c r="I37" s="45">
        <f t="shared" si="16"/>
        <v>0.1666666667</v>
      </c>
      <c r="J37" s="21"/>
      <c r="K37" s="89" t="s">
        <v>27</v>
      </c>
      <c r="L37" s="44">
        <f t="shared" ref="L37:R37" si="17">COUNTIF(L25:L35,True)/COUNTA(L25:L35)</f>
        <v>0.5454545455</v>
      </c>
      <c r="M37" s="44">
        <f t="shared" si="17"/>
        <v>0.4545454545</v>
      </c>
      <c r="N37" s="44">
        <f t="shared" si="17"/>
        <v>0.5454545455</v>
      </c>
      <c r="O37" s="44">
        <f t="shared" si="17"/>
        <v>0.2727272727</v>
      </c>
      <c r="P37" s="44">
        <f t="shared" si="17"/>
        <v>0.1818181818</v>
      </c>
      <c r="Q37" s="44">
        <f t="shared" si="17"/>
        <v>0.09090909091</v>
      </c>
      <c r="R37" s="45">
        <f t="shared" si="17"/>
        <v>0.1818181818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0.1659779614</v>
      </c>
    </row>
    <row r="3">
      <c r="A3" s="120"/>
      <c r="B3" s="8">
        <v>45261.0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84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November2023!X9</f>
        <v>2788</v>
      </c>
    </row>
    <row r="5">
      <c r="A5" s="124"/>
      <c r="B5" s="96" t="s">
        <v>1</v>
      </c>
      <c r="C5" s="97">
        <f>November2023!R23+1</f>
        <v>45257</v>
      </c>
      <c r="D5" s="98">
        <f t="shared" ref="D5:I5" si="1">C5+1</f>
        <v>45258</v>
      </c>
      <c r="E5" s="98">
        <f t="shared" si="1"/>
        <v>45259</v>
      </c>
      <c r="F5" s="98">
        <f t="shared" si="1"/>
        <v>45260</v>
      </c>
      <c r="G5" s="98">
        <f t="shared" si="1"/>
        <v>45261</v>
      </c>
      <c r="H5" s="98">
        <f t="shared" si="1"/>
        <v>45262</v>
      </c>
      <c r="I5" s="125">
        <f t="shared" si="1"/>
        <v>45263</v>
      </c>
      <c r="J5" s="17"/>
      <c r="K5" s="126" t="s">
        <v>2</v>
      </c>
      <c r="L5" s="98">
        <f>I5+1</f>
        <v>45264</v>
      </c>
      <c r="M5" s="98">
        <f t="shared" ref="M5:R5" si="2">L5+1</f>
        <v>45265</v>
      </c>
      <c r="N5" s="98">
        <f t="shared" si="2"/>
        <v>45266</v>
      </c>
      <c r="O5" s="98">
        <f t="shared" si="2"/>
        <v>45267</v>
      </c>
      <c r="P5" s="98">
        <f t="shared" si="2"/>
        <v>45268</v>
      </c>
      <c r="Q5" s="98">
        <f t="shared" si="2"/>
        <v>45269</v>
      </c>
      <c r="R5" s="125">
        <f t="shared" si="2"/>
        <v>45270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1</v>
      </c>
      <c r="F7" s="28" t="b">
        <v>1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1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45285</v>
      </c>
      <c r="AA8" s="108">
        <f t="shared" ref="AA8:AF8" si="6">Z8+1</f>
        <v>45286</v>
      </c>
      <c r="AB8" s="108">
        <f t="shared" si="6"/>
        <v>45287</v>
      </c>
      <c r="AC8" s="108">
        <f t="shared" si="6"/>
        <v>45288</v>
      </c>
      <c r="AD8" s="108">
        <f t="shared" si="6"/>
        <v>45289</v>
      </c>
      <c r="AE8" s="108">
        <f t="shared" si="6"/>
        <v>45290</v>
      </c>
      <c r="AF8" s="111">
        <f t="shared" si="6"/>
        <v>45291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0</v>
      </c>
      <c r="G9" s="26" t="b">
        <v>0</v>
      </c>
      <c r="H9" s="26" t="b">
        <v>0</v>
      </c>
      <c r="I9" s="32" t="b">
        <v>1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0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1</v>
      </c>
      <c r="V9" s="32" t="b">
        <v>0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1</v>
      </c>
      <c r="D10" s="26" t="b">
        <v>0</v>
      </c>
      <c r="E10" s="26" t="b">
        <v>1</v>
      </c>
      <c r="F10" s="26" t="b">
        <v>0</v>
      </c>
      <c r="G10" s="26" t="b">
        <v>1</v>
      </c>
      <c r="H10" s="26" t="b">
        <v>0</v>
      </c>
      <c r="I10" s="32" t="b">
        <v>1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0</v>
      </c>
      <c r="Y10" s="81" t="str">
        <f t="shared" ref="Y10:Y20" si="8">K7</f>
        <v>Exercise</v>
      </c>
      <c r="Z10" s="26" t="b">
        <v>0</v>
      </c>
      <c r="AA10" s="26" t="b">
        <v>0</v>
      </c>
      <c r="AB10" s="26" t="b">
        <v>0</v>
      </c>
      <c r="AC10" s="26" t="b">
        <v>0</v>
      </c>
      <c r="AD10" s="26" t="b">
        <v>0</v>
      </c>
      <c r="AE10" s="26" t="b">
        <v>0</v>
      </c>
      <c r="AF10" s="29" t="b">
        <v>0</v>
      </c>
      <c r="AG10" s="133"/>
    </row>
    <row r="11">
      <c r="A11" s="132"/>
      <c r="B11" s="95" t="s">
        <v>13</v>
      </c>
      <c r="C11" s="26" t="b">
        <v>0</v>
      </c>
      <c r="D11" s="26" t="b">
        <v>0</v>
      </c>
      <c r="E11" s="26" t="b">
        <v>1</v>
      </c>
      <c r="F11" s="26" t="b">
        <v>0</v>
      </c>
      <c r="G11" s="26" t="b">
        <v>1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1</v>
      </c>
      <c r="M11" s="26" t="b">
        <v>0</v>
      </c>
      <c r="N11" s="26" t="b">
        <v>0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0</v>
      </c>
      <c r="V11" s="32" t="b">
        <v>0</v>
      </c>
      <c r="Y11" s="81" t="str">
        <f t="shared" si="8"/>
        <v>Stretch/Yoga (&gt;20min)</v>
      </c>
      <c r="Z11" s="26" t="b">
        <v>1</v>
      </c>
      <c r="AA11" s="26" t="b">
        <v>1</v>
      </c>
      <c r="AB11" s="26" t="b">
        <v>0</v>
      </c>
      <c r="AC11" s="26" t="b">
        <v>0</v>
      </c>
      <c r="AD11" s="26" t="b">
        <v>0</v>
      </c>
      <c r="AE11" s="26" t="b">
        <v>0</v>
      </c>
      <c r="AF11" s="29" t="b">
        <v>0</v>
      </c>
      <c r="AG11" s="133"/>
    </row>
    <row r="12">
      <c r="A12" s="127"/>
      <c r="B12" s="82" t="s">
        <v>37</v>
      </c>
      <c r="C12" s="26" t="b">
        <v>1</v>
      </c>
      <c r="D12" s="26" t="b">
        <v>1</v>
      </c>
      <c r="E12" s="26" t="b">
        <v>1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0</v>
      </c>
      <c r="Y12" s="81" t="str">
        <f t="shared" si="8"/>
        <v>Social Media (&lt;limit)</v>
      </c>
      <c r="Z12" s="26" t="b">
        <v>0</v>
      </c>
      <c r="AA12" s="26" t="b">
        <v>0</v>
      </c>
      <c r="AB12" s="26" t="b">
        <v>0</v>
      </c>
      <c r="AC12" s="26" t="b">
        <v>0</v>
      </c>
      <c r="AD12" s="26" t="b">
        <v>0</v>
      </c>
      <c r="AE12" s="26" t="b">
        <v>0</v>
      </c>
      <c r="AF12" s="32" t="b">
        <v>0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  <c r="Y13" s="81" t="str">
        <f t="shared" si="8"/>
        <v>Eat in</v>
      </c>
      <c r="Z13" s="26" t="b">
        <v>1</v>
      </c>
      <c r="AA13" s="26" t="b">
        <v>1</v>
      </c>
      <c r="AB13" s="26" t="b">
        <v>1</v>
      </c>
      <c r="AC13" s="26" t="b">
        <v>1</v>
      </c>
      <c r="AD13" s="26" t="b">
        <v>0</v>
      </c>
      <c r="AE13" s="26" t="b">
        <v>0</v>
      </c>
      <c r="AF13" s="32" t="b">
        <v>0</v>
      </c>
      <c r="AG13" s="133"/>
    </row>
    <row r="14">
      <c r="A14" s="128"/>
      <c r="B14" s="79" t="s">
        <v>19</v>
      </c>
      <c r="C14" s="26" t="b">
        <v>1</v>
      </c>
      <c r="D14" s="26" t="b">
        <v>1</v>
      </c>
      <c r="E14" s="26" t="b">
        <v>1</v>
      </c>
      <c r="F14" s="26" t="b">
        <v>1</v>
      </c>
      <c r="G14" s="26" t="b">
        <v>1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0</v>
      </c>
      <c r="N14" s="26" t="b">
        <v>0</v>
      </c>
      <c r="O14" s="26" t="b">
        <v>0</v>
      </c>
      <c r="P14" s="26" t="b">
        <v>0</v>
      </c>
      <c r="Q14" s="26" t="b">
        <v>0</v>
      </c>
      <c r="R14" s="32" t="b">
        <v>0</v>
      </c>
      <c r="T14" s="82" t="s">
        <v>16</v>
      </c>
      <c r="U14" s="26" t="b">
        <v>1</v>
      </c>
      <c r="V14" s="32" t="b">
        <v>0</v>
      </c>
      <c r="Y14" s="95" t="str">
        <f t="shared" si="8"/>
        <v>Review Budget/Goals</v>
      </c>
      <c r="Z14" s="26" t="b">
        <v>0</v>
      </c>
      <c r="AA14" s="26" t="b">
        <v>0</v>
      </c>
      <c r="AB14" s="26" t="b">
        <v>0</v>
      </c>
      <c r="AC14" s="26" t="b">
        <v>0</v>
      </c>
      <c r="AD14" s="26" t="b">
        <v>0</v>
      </c>
      <c r="AE14" s="26" t="b">
        <v>0</v>
      </c>
      <c r="AF14" s="32" t="b">
        <v>0</v>
      </c>
      <c r="AG14" s="133"/>
    </row>
    <row r="15">
      <c r="A15" s="128"/>
      <c r="B15" s="79" t="s">
        <v>21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1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0</v>
      </c>
      <c r="V15" s="32" t="b">
        <v>0</v>
      </c>
      <c r="Y15" s="81" t="str">
        <f t="shared" si="8"/>
        <v>(2x)Brush+(1x)Floss</v>
      </c>
      <c r="Z15" s="26" t="b">
        <v>0</v>
      </c>
      <c r="AA15" s="26" t="b">
        <v>0</v>
      </c>
      <c r="AB15" s="26" t="b">
        <v>0</v>
      </c>
      <c r="AC15" s="26" t="b">
        <v>0</v>
      </c>
      <c r="AD15" s="26" t="b">
        <v>0</v>
      </c>
      <c r="AE15" s="26" t="b">
        <v>0</v>
      </c>
      <c r="AF15" s="32" t="b">
        <v>0</v>
      </c>
      <c r="AG15" s="133"/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0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0</v>
      </c>
      <c r="D17" s="26" t="b">
        <v>1</v>
      </c>
      <c r="E17" s="26" t="b">
        <v>1</v>
      </c>
      <c r="F17" s="26" t="b">
        <v>1</v>
      </c>
      <c r="G17" s="26" t="b">
        <v>0</v>
      </c>
      <c r="H17" s="26" t="b">
        <v>0</v>
      </c>
      <c r="I17" s="32" t="b">
        <v>1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0</v>
      </c>
      <c r="V17" s="32" t="b">
        <v>0</v>
      </c>
      <c r="Y17" s="81" t="str">
        <f t="shared" si="8"/>
        <v>7 hours sleep</v>
      </c>
      <c r="Z17" s="26" t="b">
        <v>0</v>
      </c>
      <c r="AA17" s="26" t="b">
        <v>0</v>
      </c>
      <c r="AB17" s="26" t="b">
        <v>0</v>
      </c>
      <c r="AC17" s="26" t="b">
        <v>0</v>
      </c>
      <c r="AD17" s="26" t="b">
        <v>0</v>
      </c>
      <c r="AE17" s="26" t="b">
        <v>0</v>
      </c>
      <c r="AF17" s="32" t="b">
        <v>0</v>
      </c>
      <c r="AG17" s="133"/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Y18" s="81" t="str">
        <f t="shared" si="8"/>
        <v>Clean (~20 min)</v>
      </c>
      <c r="Z18" s="26" t="b">
        <v>0</v>
      </c>
      <c r="AA18" s="26" t="b">
        <v>0</v>
      </c>
      <c r="AB18" s="26" t="b">
        <v>0</v>
      </c>
      <c r="AC18" s="26" t="b">
        <v>0</v>
      </c>
      <c r="AD18" s="26" t="b">
        <v>0</v>
      </c>
      <c r="AE18" s="26" t="b">
        <v>0</v>
      </c>
      <c r="AF18" s="32" t="b">
        <v>0</v>
      </c>
      <c r="AG18" s="133"/>
    </row>
    <row r="19">
      <c r="A19" s="127"/>
      <c r="B19" s="88" t="s">
        <v>27</v>
      </c>
      <c r="C19" s="44">
        <f t="shared" ref="C19:I19" si="9">COUNTIF(C7:C18,True)/COUNTA(C7:C18)</f>
        <v>0.4166666667</v>
      </c>
      <c r="D19" s="44">
        <f t="shared" si="9"/>
        <v>0.4166666667</v>
      </c>
      <c r="E19" s="44">
        <f t="shared" si="9"/>
        <v>0.5833333333</v>
      </c>
      <c r="F19" s="44">
        <f t="shared" si="9"/>
        <v>0.3333333333</v>
      </c>
      <c r="G19" s="44">
        <f t="shared" si="9"/>
        <v>0.25</v>
      </c>
      <c r="H19" s="44">
        <f t="shared" si="9"/>
        <v>0.08333333333</v>
      </c>
      <c r="I19" s="45">
        <f t="shared" si="9"/>
        <v>0.4166666667</v>
      </c>
      <c r="J19" s="21"/>
      <c r="K19" s="134" t="s">
        <v>27</v>
      </c>
      <c r="L19" s="135">
        <f t="shared" ref="L19:R19" si="10">COUNTIF(L7:L18,True)/COUNTA(L7:L18)</f>
        <v>0.1666666667</v>
      </c>
      <c r="M19" s="135">
        <f t="shared" si="10"/>
        <v>0</v>
      </c>
      <c r="N19" s="135">
        <f t="shared" si="10"/>
        <v>0</v>
      </c>
      <c r="O19" s="135">
        <f t="shared" si="10"/>
        <v>0</v>
      </c>
      <c r="P19" s="135">
        <f t="shared" si="10"/>
        <v>0</v>
      </c>
      <c r="Q19" s="135">
        <f t="shared" si="10"/>
        <v>0</v>
      </c>
      <c r="R19" s="135">
        <f t="shared" si="10"/>
        <v>0</v>
      </c>
      <c r="T19" s="88" t="s">
        <v>27</v>
      </c>
      <c r="U19" s="44">
        <f t="shared" ref="U19:V19" si="11">COUNTIF(U9:U18,True)/COUNTA(U9:U18)</f>
        <v>0.4</v>
      </c>
      <c r="V19" s="45">
        <f t="shared" si="11"/>
        <v>0</v>
      </c>
      <c r="Y19" s="81" t="str">
        <f t="shared" si="8"/>
        <v>Read (~20 min)</v>
      </c>
      <c r="Z19" s="26" t="b">
        <v>1</v>
      </c>
      <c r="AA19" s="26" t="b">
        <v>0</v>
      </c>
      <c r="AB19" s="26" t="b">
        <v>0</v>
      </c>
      <c r="AC19" s="26" t="b">
        <v>0</v>
      </c>
      <c r="AD19" s="26" t="b">
        <v>0</v>
      </c>
      <c r="AE19" s="26" t="b">
        <v>0</v>
      </c>
      <c r="AF19" s="29" t="b">
        <v>0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0</v>
      </c>
      <c r="AA20" s="26" t="b">
        <v>0</v>
      </c>
      <c r="AB20" s="26" t="b">
        <v>0</v>
      </c>
      <c r="AC20" s="26" t="b">
        <v>0</v>
      </c>
      <c r="AD20" s="26" t="b">
        <v>0</v>
      </c>
      <c r="AE20" s="26" t="b">
        <v>0</v>
      </c>
      <c r="AF20" s="32" t="b">
        <v>0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COUNTIF(Z10:Z20,True)/COUNTA(Z10:Z20)</f>
        <v>0.2727272727</v>
      </c>
      <c r="AA22" s="135">
        <f t="shared" si="12"/>
        <v>0.1818181818</v>
      </c>
      <c r="AB22" s="135">
        <f t="shared" si="12"/>
        <v>0.09090909091</v>
      </c>
      <c r="AC22" s="135">
        <f t="shared" si="12"/>
        <v>0.09090909091</v>
      </c>
      <c r="AD22" s="135">
        <f t="shared" si="12"/>
        <v>0</v>
      </c>
      <c r="AE22" s="135">
        <f t="shared" si="12"/>
        <v>0</v>
      </c>
      <c r="AF22" s="92">
        <f t="shared" si="12"/>
        <v>0</v>
      </c>
      <c r="AG22" s="71"/>
    </row>
    <row r="23">
      <c r="A23" s="127"/>
      <c r="B23" s="139" t="s">
        <v>35</v>
      </c>
      <c r="C23" s="97">
        <f>R5+1</f>
        <v>45271</v>
      </c>
      <c r="D23" s="108">
        <f t="shared" ref="D23:I23" si="13">C23+1</f>
        <v>45272</v>
      </c>
      <c r="E23" s="108">
        <f t="shared" si="13"/>
        <v>45273</v>
      </c>
      <c r="F23" s="108">
        <f t="shared" si="13"/>
        <v>45274</v>
      </c>
      <c r="G23" s="108">
        <f t="shared" si="13"/>
        <v>45275</v>
      </c>
      <c r="H23" s="108">
        <f t="shared" si="13"/>
        <v>45276</v>
      </c>
      <c r="I23" s="111">
        <f t="shared" si="13"/>
        <v>45277</v>
      </c>
      <c r="J23" s="52"/>
      <c r="K23" s="110" t="s">
        <v>36</v>
      </c>
      <c r="L23" s="108">
        <f>I23+1</f>
        <v>45278</v>
      </c>
      <c r="M23" s="108">
        <f t="shared" ref="M23:R23" si="14">L23+1</f>
        <v>45279</v>
      </c>
      <c r="N23" s="108">
        <f t="shared" si="14"/>
        <v>45280</v>
      </c>
      <c r="O23" s="108">
        <f t="shared" si="14"/>
        <v>45281</v>
      </c>
      <c r="P23" s="108">
        <f t="shared" si="14"/>
        <v>45282</v>
      </c>
      <c r="Q23" s="108">
        <f t="shared" si="14"/>
        <v>45283</v>
      </c>
      <c r="R23" s="111">
        <f t="shared" si="14"/>
        <v>45284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0</v>
      </c>
      <c r="V24" s="26" t="b">
        <v>1</v>
      </c>
      <c r="W24" s="32" t="b">
        <v>0</v>
      </c>
      <c r="Y24" s="90" t="s">
        <v>48</v>
      </c>
      <c r="Z24" s="53" t="str">
        <f>IFERROR(__xludf.DUMMYFUNCTION("SPARKLINE((SUM(Z22:AF22)+3*AR20)/10,{""charttype"",""bar"";""max"",1;""min"",0;""color1"",IF((SUM(Z22:AF22)+3*AR20)/10&gt;0.7,""green"",IF((SUM(Z22:AF22)+3*AR20)/10&gt;0.5,""yellow"",""red""))})"),"")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0</v>
      </c>
      <c r="D25" s="26" t="b">
        <v>0</v>
      </c>
      <c r="E25" s="26" t="b">
        <v>0</v>
      </c>
      <c r="F25" s="28" t="b">
        <v>0</v>
      </c>
      <c r="G25" s="27" t="b">
        <v>0</v>
      </c>
      <c r="H25" s="26" t="b">
        <v>0</v>
      </c>
      <c r="I25" s="29" t="b">
        <v>0</v>
      </c>
      <c r="J25" s="30"/>
      <c r="K25" s="81" t="str">
        <f t="shared" ref="K25:K35" si="18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0</v>
      </c>
      <c r="V25" s="26" t="b">
        <v>0</v>
      </c>
      <c r="W25" s="32" t="b">
        <v>0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0</v>
      </c>
      <c r="E26" s="27" t="b">
        <v>0</v>
      </c>
      <c r="F26" s="26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8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32" t="b">
        <v>1</v>
      </c>
      <c r="T26" s="82" t="s">
        <v>10</v>
      </c>
      <c r="U26" s="26" t="b">
        <v>0</v>
      </c>
      <c r="V26" s="26" t="b">
        <v>0</v>
      </c>
      <c r="W26" s="32" t="b">
        <v>0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0</v>
      </c>
      <c r="D27" s="26" t="b">
        <v>0</v>
      </c>
      <c r="E27" s="26" t="b">
        <v>0</v>
      </c>
      <c r="F27" s="28" t="b">
        <v>0</v>
      </c>
      <c r="G27" s="26" t="b">
        <v>0</v>
      </c>
      <c r="H27" s="26" t="b">
        <v>0</v>
      </c>
      <c r="I27" s="32" t="b">
        <v>0</v>
      </c>
      <c r="J27" s="30"/>
      <c r="K27" s="81" t="str">
        <f t="shared" si="18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32" t="b">
        <v>0</v>
      </c>
      <c r="T27" s="82" t="s">
        <v>12</v>
      </c>
      <c r="U27" s="26" t="b">
        <v>0</v>
      </c>
      <c r="V27" s="26" t="b">
        <v>0</v>
      </c>
      <c r="W27" s="32" t="b">
        <v>0</v>
      </c>
      <c r="Y27" s="82" t="s">
        <v>28</v>
      </c>
      <c r="Z27" s="32" t="b">
        <v>0</v>
      </c>
      <c r="AF27" s="133"/>
      <c r="AG27" s="133"/>
    </row>
    <row r="28">
      <c r="A28" s="127"/>
      <c r="B28" s="82" t="str">
        <f t="shared" si="17"/>
        <v>Eat in</v>
      </c>
      <c r="C28" s="26" t="b">
        <v>1</v>
      </c>
      <c r="D28" s="26" t="b">
        <v>1</v>
      </c>
      <c r="E28" s="26" t="b">
        <v>1</v>
      </c>
      <c r="F28" s="26" t="b">
        <v>1</v>
      </c>
      <c r="G28" s="26" t="b">
        <v>0</v>
      </c>
      <c r="H28" s="26" t="b">
        <v>0</v>
      </c>
      <c r="I28" s="32" t="b">
        <v>1</v>
      </c>
      <c r="J28" s="30"/>
      <c r="K28" s="81" t="str">
        <f t="shared" si="18"/>
        <v>Eat in</v>
      </c>
      <c r="L28" s="26" t="b">
        <v>1</v>
      </c>
      <c r="M28" s="26" t="b">
        <v>1</v>
      </c>
      <c r="N28" s="26" t="b">
        <v>1</v>
      </c>
      <c r="O28" s="26" t="b">
        <v>1</v>
      </c>
      <c r="P28" s="26" t="b">
        <v>1</v>
      </c>
      <c r="Q28" s="26" t="b">
        <v>1</v>
      </c>
      <c r="R28" s="32" t="b">
        <v>1</v>
      </c>
      <c r="T28" s="82" t="s">
        <v>14</v>
      </c>
      <c r="U28" s="26" t="b">
        <v>0</v>
      </c>
      <c r="V28" s="26" t="b">
        <v>0</v>
      </c>
      <c r="W28" s="32" t="b">
        <v>0</v>
      </c>
      <c r="Y28" s="82" t="s">
        <v>47</v>
      </c>
      <c r="Z28" s="32" t="b">
        <v>1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8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32" t="b">
        <v>0</v>
      </c>
      <c r="T29" s="82" t="s">
        <v>16</v>
      </c>
      <c r="U29" s="26" t="b">
        <v>0</v>
      </c>
      <c r="V29" s="26" t="b">
        <v>0</v>
      </c>
      <c r="W29" s="32" t="b">
        <v>0</v>
      </c>
      <c r="Y29" s="82" t="s">
        <v>30</v>
      </c>
      <c r="Z29" s="32" t="b">
        <v>1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0</v>
      </c>
      <c r="D30" s="26" t="b">
        <v>0</v>
      </c>
      <c r="E30" s="26" t="b">
        <v>0</v>
      </c>
      <c r="F30" s="26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8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26" t="b">
        <v>0</v>
      </c>
      <c r="W30" s="32" t="b">
        <v>0</v>
      </c>
      <c r="Y30" s="82" t="s">
        <v>32</v>
      </c>
      <c r="Z30" s="32" t="b">
        <v>1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0</v>
      </c>
      <c r="E31" s="26" t="b">
        <v>0</v>
      </c>
      <c r="F31" s="26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0</v>
      </c>
      <c r="V31" s="26" t="b">
        <v>0</v>
      </c>
      <c r="W31" s="32" t="b">
        <v>0</v>
      </c>
      <c r="Y31" s="85" t="s">
        <v>34</v>
      </c>
      <c r="Z31" s="32" t="b">
        <v>0</v>
      </c>
      <c r="AF31" s="145"/>
      <c r="AG31" s="145"/>
    </row>
    <row r="32">
      <c r="A32" s="127"/>
      <c r="B32" s="82" t="str">
        <f t="shared" si="17"/>
        <v>7 hours sleep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32" t="b">
        <v>0</v>
      </c>
      <c r="J32" s="30"/>
      <c r="K32" s="81" t="str">
        <f t="shared" si="18"/>
        <v>7 hours sleep</v>
      </c>
      <c r="L32" s="26" t="b">
        <v>0</v>
      </c>
      <c r="M32" s="26" t="b">
        <v>0</v>
      </c>
      <c r="N32" s="26" t="b">
        <v>0</v>
      </c>
      <c r="O32" s="26" t="b">
        <v>0</v>
      </c>
      <c r="P32" s="26" t="b">
        <v>0</v>
      </c>
      <c r="Q32" s="26" t="b">
        <v>0</v>
      </c>
      <c r="R32" s="32" t="b">
        <v>0</v>
      </c>
      <c r="T32" s="82" t="s">
        <v>22</v>
      </c>
      <c r="U32" s="26" t="b">
        <v>0</v>
      </c>
      <c r="V32" s="26" t="b">
        <v>0</v>
      </c>
      <c r="W32" s="32" t="b">
        <v>0</v>
      </c>
      <c r="Y32" s="91" t="s">
        <v>27</v>
      </c>
      <c r="Z32" s="92">
        <f>COUNTIF(Z27:Z31,True)/COUNTA(Z27:Z31)</f>
        <v>0.6</v>
      </c>
      <c r="AF32" s="71"/>
      <c r="AG32" s="71"/>
    </row>
    <row r="33">
      <c r="A33" s="127"/>
      <c r="B33" s="82" t="str">
        <f t="shared" si="17"/>
        <v>Clean (~20 min)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8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32" t="b">
        <v>0</v>
      </c>
      <c r="T33" s="85" t="s">
        <v>24</v>
      </c>
      <c r="U33" s="38" t="b">
        <v>0</v>
      </c>
      <c r="V33" s="38" t="b">
        <v>0</v>
      </c>
      <c r="W33" s="32" t="b">
        <v>0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32" t="b">
        <v>0</v>
      </c>
      <c r="J34" s="30"/>
      <c r="K34" s="81" t="str">
        <f t="shared" si="18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1</v>
      </c>
      <c r="R34" s="32" t="b">
        <v>1</v>
      </c>
      <c r="T34" s="88" t="s">
        <v>27</v>
      </c>
      <c r="U34" s="68">
        <f t="shared" ref="U34:W34" si="19">COUNTIF(U24:U33,True)/COUNTA(U24:U33)</f>
        <v>0</v>
      </c>
      <c r="V34" s="68">
        <f t="shared" si="19"/>
        <v>0.1</v>
      </c>
      <c r="W34" s="146">
        <f t="shared" si="19"/>
        <v>0</v>
      </c>
    </row>
    <row r="35">
      <c r="A35" s="133"/>
      <c r="B35" s="81" t="str">
        <f t="shared" si="17"/>
        <v>Vitamins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8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32" t="b">
        <v>0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0.08333333333</v>
      </c>
      <c r="D37" s="44">
        <f t="shared" si="20"/>
        <v>0.08333333333</v>
      </c>
      <c r="E37" s="44">
        <f t="shared" si="20"/>
        <v>0.08333333333</v>
      </c>
      <c r="F37" s="44">
        <f t="shared" si="20"/>
        <v>0.08333333333</v>
      </c>
      <c r="G37" s="44">
        <f t="shared" si="20"/>
        <v>0</v>
      </c>
      <c r="H37" s="44">
        <f t="shared" si="20"/>
        <v>0</v>
      </c>
      <c r="I37" s="45">
        <f t="shared" si="20"/>
        <v>0.08333333333</v>
      </c>
      <c r="J37" s="21"/>
      <c r="K37" s="134" t="s">
        <v>27</v>
      </c>
      <c r="L37" s="135">
        <f t="shared" ref="L37:R37" si="21">COUNTIF(L25:L35,True)/COUNTA(L25:L35)</f>
        <v>0.09090909091</v>
      </c>
      <c r="M37" s="135">
        <f t="shared" si="21"/>
        <v>0.09090909091</v>
      </c>
      <c r="N37" s="135">
        <f t="shared" si="21"/>
        <v>0.09090909091</v>
      </c>
      <c r="O37" s="135">
        <f t="shared" si="21"/>
        <v>0.09090909091</v>
      </c>
      <c r="P37" s="135">
        <f t="shared" si="21"/>
        <v>0.09090909091</v>
      </c>
      <c r="Q37" s="135">
        <f t="shared" si="21"/>
        <v>0.1818181818</v>
      </c>
      <c r="R37" s="92">
        <f t="shared" si="21"/>
        <v>0.2727272727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IFERROR(__xludf.DUMMYFUNCTION("SPARKLINE((SUM(C37:I37)+3*AH20)/10,{""charttype"",""bar"";""max"",1;""min"",0;""color1"",IF((SUM(C37:I37)+3*AH20)/10&gt;0.7,""green"",IF((SUM(C37:I37)+3*AH20)/10&gt;0.5,""yellow"",""red""))})"),"")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IFERROR(__xludf.DUMMYFUNCTION("SPARKLINE((SUM(L37:R37)+3*AI20)/10,{""charttype"",""bar"";""max"",1;""min"",0;""color1"",IF((SUM(L37:R37)+3*AI20)/10&gt;0.7,""green"",IF((SUM(L37:R37)+3*AI20)/10&gt;0.5,""yellow"",""red""))})"),"")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f>EDATE(December2023!B3,1)</f>
        <v>45292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B3</f>
        <v>45292</v>
      </c>
      <c r="D5" s="98">
        <f t="shared" ref="D5:I5" si="1">C5+1</f>
        <v>45293</v>
      </c>
      <c r="E5" s="98">
        <f t="shared" si="1"/>
        <v>45294</v>
      </c>
      <c r="F5" s="98">
        <f t="shared" si="1"/>
        <v>45295</v>
      </c>
      <c r="G5" s="98">
        <f t="shared" si="1"/>
        <v>45296</v>
      </c>
      <c r="H5" s="98">
        <f t="shared" si="1"/>
        <v>45297</v>
      </c>
      <c r="I5" s="125">
        <f t="shared" si="1"/>
        <v>45298</v>
      </c>
      <c r="J5" s="17"/>
      <c r="K5" s="126" t="s">
        <v>2</v>
      </c>
      <c r="L5" s="98">
        <f>I5+1</f>
        <v>45299</v>
      </c>
      <c r="M5" s="98">
        <f t="shared" ref="M5:R5" si="2">L5+1</f>
        <v>45300</v>
      </c>
      <c r="N5" s="98">
        <f t="shared" si="2"/>
        <v>45301</v>
      </c>
      <c r="O5" s="98">
        <f t="shared" si="2"/>
        <v>45302</v>
      </c>
      <c r="P5" s="98">
        <f t="shared" si="2"/>
        <v>45303</v>
      </c>
      <c r="Q5" s="98">
        <f t="shared" si="2"/>
        <v>45304</v>
      </c>
      <c r="R5" s="125">
        <f t="shared" si="2"/>
        <v>45305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0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0.4424242424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203</v>
      </c>
    </row>
    <row r="9">
      <c r="A9" s="128"/>
      <c r="B9" s="79" t="s">
        <v>39</v>
      </c>
      <c r="C9" s="26" t="b">
        <v>0</v>
      </c>
      <c r="D9" s="26" t="b">
        <v>0</v>
      </c>
      <c r="E9" s="26" t="b">
        <v>0</v>
      </c>
      <c r="F9" s="28" t="b">
        <v>0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1</v>
      </c>
      <c r="R9" s="32" t="b">
        <v>1</v>
      </c>
      <c r="T9" s="82" t="s">
        <v>6</v>
      </c>
      <c r="U9" s="26" t="b">
        <v>1</v>
      </c>
      <c r="V9" s="32" t="b">
        <v>1</v>
      </c>
      <c r="X9" s="131">
        <f>X8</f>
        <v>203</v>
      </c>
    </row>
    <row r="10">
      <c r="A10" s="128"/>
      <c r="B10" s="79" t="s">
        <v>11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1</v>
      </c>
      <c r="O10" s="26" t="b">
        <v>1</v>
      </c>
      <c r="P10" s="26" t="b">
        <v>0</v>
      </c>
      <c r="Q10" s="26" t="b">
        <v>0</v>
      </c>
      <c r="R10" s="32" t="b">
        <v>1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1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1</v>
      </c>
      <c r="V11" s="32" t="b">
        <v>1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1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0</v>
      </c>
      <c r="D14" s="26" t="b">
        <v>0</v>
      </c>
      <c r="E14" s="26" t="b">
        <v>1</v>
      </c>
      <c r="F14" s="26" t="b">
        <v>1</v>
      </c>
      <c r="G14" s="26" t="b">
        <v>0</v>
      </c>
      <c r="H14" s="26" t="b">
        <v>0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0</v>
      </c>
      <c r="N14" s="26" t="b">
        <v>1</v>
      </c>
      <c r="O14" s="26" t="b">
        <v>1</v>
      </c>
      <c r="P14" s="26" t="b">
        <v>1</v>
      </c>
      <c r="Q14" s="26" t="b">
        <v>0</v>
      </c>
      <c r="R14" s="32" t="b">
        <v>0</v>
      </c>
      <c r="T14" s="82" t="s">
        <v>16</v>
      </c>
      <c r="U14" s="26" t="b">
        <v>0</v>
      </c>
      <c r="V14" s="32" t="b">
        <v>0</v>
      </c>
    </row>
    <row r="15">
      <c r="A15" s="128"/>
      <c r="B15" s="79" t="s">
        <v>21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0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1</v>
      </c>
      <c r="T15" s="82" t="s">
        <v>18</v>
      </c>
      <c r="U15" s="26" t="b">
        <v>0</v>
      </c>
      <c r="V15" s="32" t="b">
        <v>1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0</v>
      </c>
      <c r="X16" s="40" t="s">
        <v>25</v>
      </c>
      <c r="Y16" s="41"/>
    </row>
    <row r="17">
      <c r="A17" s="133"/>
      <c r="B17" s="81" t="s">
        <v>26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1</v>
      </c>
      <c r="T17" s="82" t="s">
        <v>22</v>
      </c>
      <c r="U17" s="26" t="b">
        <v>0</v>
      </c>
      <c r="V17" s="32" t="b">
        <v>1</v>
      </c>
      <c r="X17" s="82" t="s">
        <v>28</v>
      </c>
      <c r="Y17" s="32" t="b">
        <v>0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1</v>
      </c>
    </row>
    <row r="19">
      <c r="A19" s="127"/>
      <c r="B19" s="88" t="s">
        <v>27</v>
      </c>
      <c r="C19" s="44">
        <f t="shared" ref="C19:I19" si="6">COUNTIF(C7:C18,True)/COUNTA(C7:C18)</f>
        <v>0</v>
      </c>
      <c r="D19" s="44">
        <f t="shared" si="6"/>
        <v>0</v>
      </c>
      <c r="E19" s="44">
        <f t="shared" si="6"/>
        <v>0.08333333333</v>
      </c>
      <c r="F19" s="44">
        <f t="shared" si="6"/>
        <v>0.08333333333</v>
      </c>
      <c r="G19" s="44">
        <f t="shared" si="6"/>
        <v>0</v>
      </c>
      <c r="H19" s="44">
        <f t="shared" si="6"/>
        <v>0</v>
      </c>
      <c r="I19" s="45">
        <f t="shared" si="6"/>
        <v>0.08333333333</v>
      </c>
      <c r="J19" s="21"/>
      <c r="K19" s="89" t="s">
        <v>27</v>
      </c>
      <c r="L19" s="44">
        <f t="shared" ref="L19:R19" si="7">COUNTIF(L7:L18,True)/COUNTA(L7:L18)</f>
        <v>0.3333333333</v>
      </c>
      <c r="M19" s="44">
        <f t="shared" si="7"/>
        <v>0.1666666667</v>
      </c>
      <c r="N19" s="44">
        <f t="shared" si="7"/>
        <v>0.3333333333</v>
      </c>
      <c r="O19" s="44">
        <f t="shared" si="7"/>
        <v>0.25</v>
      </c>
      <c r="P19" s="44">
        <f t="shared" si="7"/>
        <v>0.1666666667</v>
      </c>
      <c r="Q19" s="44">
        <f t="shared" si="7"/>
        <v>0.08333333333</v>
      </c>
      <c r="R19" s="44">
        <f t="shared" si="7"/>
        <v>0.3333333333</v>
      </c>
      <c r="T19" s="88" t="s">
        <v>27</v>
      </c>
      <c r="U19" s="44">
        <f t="shared" ref="U19:V19" si="8">COUNTIF(U9:U18,True)/COUNTA(U9:U18)</f>
        <v>0.5</v>
      </c>
      <c r="V19" s="45">
        <f t="shared" si="8"/>
        <v>0.6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0.6</v>
      </c>
      <c r="Z22" s="56"/>
      <c r="AA22" s="56"/>
    </row>
    <row r="23">
      <c r="A23" s="127"/>
      <c r="B23" s="107" t="s">
        <v>35</v>
      </c>
      <c r="C23" s="97">
        <f>R5+1</f>
        <v>45306</v>
      </c>
      <c r="D23" s="108">
        <f t="shared" ref="D23:I23" si="9">C23+1</f>
        <v>45307</v>
      </c>
      <c r="E23" s="108">
        <f t="shared" si="9"/>
        <v>45308</v>
      </c>
      <c r="F23" s="108">
        <f t="shared" si="9"/>
        <v>45309</v>
      </c>
      <c r="G23" s="108">
        <f t="shared" si="9"/>
        <v>45310</v>
      </c>
      <c r="H23" s="108">
        <f t="shared" si="9"/>
        <v>45311</v>
      </c>
      <c r="I23" s="111">
        <f t="shared" si="9"/>
        <v>45312</v>
      </c>
      <c r="J23" s="52"/>
      <c r="K23" s="110" t="s">
        <v>36</v>
      </c>
      <c r="L23" s="108">
        <f>I23+1</f>
        <v>45313</v>
      </c>
      <c r="M23" s="108">
        <f t="shared" ref="M23:R23" si="10">L23+1</f>
        <v>45314</v>
      </c>
      <c r="N23" s="108">
        <f t="shared" si="10"/>
        <v>45315</v>
      </c>
      <c r="O23" s="108">
        <f t="shared" si="10"/>
        <v>45316</v>
      </c>
      <c r="P23" s="108">
        <f t="shared" si="10"/>
        <v>45317</v>
      </c>
      <c r="Q23" s="108">
        <f t="shared" si="10"/>
        <v>45318</v>
      </c>
      <c r="R23" s="111">
        <f t="shared" si="10"/>
        <v>45319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1</v>
      </c>
      <c r="D25" s="26" t="b">
        <v>1</v>
      </c>
      <c r="E25" s="26" t="b">
        <v>1</v>
      </c>
      <c r="F25" s="65" t="b">
        <v>0</v>
      </c>
      <c r="G25" s="27" t="b">
        <v>0</v>
      </c>
      <c r="H25" s="27" t="b">
        <v>0</v>
      </c>
      <c r="I25" s="32" t="b">
        <v>1</v>
      </c>
      <c r="J25" s="30"/>
      <c r="K25" s="81" t="str">
        <f t="shared" ref="K25:K35" si="14">B7</f>
        <v>Exercise</v>
      </c>
      <c r="L25" s="26" t="b">
        <v>1</v>
      </c>
      <c r="M25" s="26" t="b">
        <v>1</v>
      </c>
      <c r="N25" s="26" t="b">
        <v>1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1</v>
      </c>
      <c r="E26" s="27" t="b">
        <v>0</v>
      </c>
      <c r="F26" s="27" t="b">
        <v>0</v>
      </c>
      <c r="G26" s="26" t="b">
        <v>1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1</v>
      </c>
      <c r="M26" s="26" t="b">
        <v>0</v>
      </c>
      <c r="N26" s="26" t="b">
        <v>0</v>
      </c>
      <c r="O26" s="26" t="b">
        <v>0</v>
      </c>
      <c r="P26" s="26" t="b">
        <v>1</v>
      </c>
      <c r="Q26" s="26" t="b">
        <v>1</v>
      </c>
      <c r="R26" s="29" t="b">
        <v>0</v>
      </c>
      <c r="T26" s="82" t="s">
        <v>10</v>
      </c>
      <c r="U26" s="26" t="b">
        <v>1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6" t="b">
        <v>1</v>
      </c>
      <c r="H27" s="26" t="b">
        <v>1</v>
      </c>
      <c r="I27" s="32" t="b">
        <v>1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1</v>
      </c>
      <c r="R27" s="32" t="b">
        <v>1</v>
      </c>
      <c r="T27" s="82" t="s">
        <v>12</v>
      </c>
      <c r="U27" s="26" t="b">
        <v>0</v>
      </c>
      <c r="V27" s="32" t="b">
        <v>0</v>
      </c>
    </row>
    <row r="28">
      <c r="A28" s="127"/>
      <c r="B28" s="82" t="str">
        <f t="shared" si="13"/>
        <v>Eat in</v>
      </c>
      <c r="C28" s="26" t="b">
        <v>1</v>
      </c>
      <c r="D28" s="26" t="b">
        <v>0</v>
      </c>
      <c r="E28" s="26" t="b">
        <v>1</v>
      </c>
      <c r="F28" s="26" t="b">
        <v>1</v>
      </c>
      <c r="G28" s="26" t="b">
        <v>0</v>
      </c>
      <c r="H28" s="26" t="b">
        <v>1</v>
      </c>
      <c r="I28" s="32" t="b">
        <v>1</v>
      </c>
      <c r="J28" s="30"/>
      <c r="K28" s="81" t="str">
        <f t="shared" si="14"/>
        <v>Eat in</v>
      </c>
      <c r="L28" s="26" t="b">
        <v>0</v>
      </c>
      <c r="M28" s="26" t="b">
        <v>0</v>
      </c>
      <c r="N28" s="26" t="b">
        <v>0</v>
      </c>
      <c r="O28" s="26" t="b">
        <v>1</v>
      </c>
      <c r="P28" s="26" t="b">
        <v>1</v>
      </c>
      <c r="Q28" s="26" t="b">
        <v>1</v>
      </c>
      <c r="R28" s="32" t="b">
        <v>1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1</v>
      </c>
      <c r="D29" s="26" t="b">
        <v>1</v>
      </c>
      <c r="E29" s="26" t="b">
        <v>1</v>
      </c>
      <c r="F29" s="26" t="b">
        <v>1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1</v>
      </c>
      <c r="M29" s="26" t="b">
        <v>1</v>
      </c>
      <c r="N29" s="26" t="b">
        <v>1</v>
      </c>
      <c r="O29" s="26" t="b">
        <v>1</v>
      </c>
      <c r="P29" s="26" t="b">
        <v>1</v>
      </c>
      <c r="Q29" s="26" t="b">
        <v>0</v>
      </c>
      <c r="R29" s="32" t="b">
        <v>1</v>
      </c>
      <c r="T29" s="82" t="s">
        <v>16</v>
      </c>
      <c r="U29" s="26" t="b">
        <v>1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1</v>
      </c>
      <c r="D30" s="26" t="b">
        <v>1</v>
      </c>
      <c r="E30" s="26" t="b">
        <v>1</v>
      </c>
      <c r="F30" s="27" t="b">
        <v>0</v>
      </c>
      <c r="G30" s="27" t="b">
        <v>0</v>
      </c>
      <c r="H30" s="26" t="b">
        <v>0</v>
      </c>
      <c r="I30" s="32" t="b">
        <v>1</v>
      </c>
      <c r="J30" s="30"/>
      <c r="K30" s="81" t="str">
        <f t="shared" si="14"/>
        <v>(2x)Brush+(1x)Floss</v>
      </c>
      <c r="L30" s="26" t="b">
        <v>1</v>
      </c>
      <c r="M30" s="26" t="b">
        <v>0</v>
      </c>
      <c r="N30" s="26" t="b">
        <v>1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32" t="b">
        <v>1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1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0</v>
      </c>
      <c r="D32" s="26" t="b">
        <v>1</v>
      </c>
      <c r="E32" s="27" t="b">
        <v>0</v>
      </c>
      <c r="F32" s="26" t="b">
        <v>1</v>
      </c>
      <c r="G32" s="26" t="b">
        <v>0</v>
      </c>
      <c r="H32" s="26" t="b">
        <v>0</v>
      </c>
      <c r="I32" s="32" t="b">
        <v>0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1</v>
      </c>
      <c r="O32" s="26" t="b">
        <v>1</v>
      </c>
      <c r="P32" s="26" t="b">
        <v>1</v>
      </c>
      <c r="Q32" s="26" t="b">
        <v>1</v>
      </c>
      <c r="R32" s="32" t="b">
        <v>1</v>
      </c>
      <c r="T32" s="82" t="s">
        <v>22</v>
      </c>
      <c r="U32" s="26" t="b">
        <v>0</v>
      </c>
      <c r="V32" s="32" t="b">
        <v>0</v>
      </c>
    </row>
    <row r="33">
      <c r="A33" s="127"/>
      <c r="B33" s="82" t="str">
        <f t="shared" si="13"/>
        <v>Clean (~20 min)</v>
      </c>
      <c r="C33" s="26" t="b">
        <v>1</v>
      </c>
      <c r="D33" s="26" t="b">
        <v>0</v>
      </c>
      <c r="E33" s="26" t="b">
        <v>0</v>
      </c>
      <c r="F33" s="27" t="b">
        <v>0</v>
      </c>
      <c r="G33" s="26" t="b">
        <v>1</v>
      </c>
      <c r="H33" s="26" t="b">
        <v>1</v>
      </c>
      <c r="I33" s="32" t="b">
        <v>1</v>
      </c>
      <c r="J33" s="30"/>
      <c r="K33" s="81" t="str">
        <f t="shared" si="14"/>
        <v>Clean (~20 min)</v>
      </c>
      <c r="L33" s="26" t="b">
        <v>1</v>
      </c>
      <c r="M33" s="26" t="b">
        <v>0</v>
      </c>
      <c r="N33" s="26" t="b">
        <v>0</v>
      </c>
      <c r="O33" s="26" t="b">
        <v>1</v>
      </c>
      <c r="P33" s="26" t="b">
        <v>1</v>
      </c>
      <c r="Q33" s="26" t="b">
        <v>1</v>
      </c>
      <c r="R33" s="29" t="b">
        <v>0</v>
      </c>
      <c r="T33" s="85" t="s">
        <v>24</v>
      </c>
      <c r="U33" s="38" t="b">
        <v>1</v>
      </c>
      <c r="V33" s="39" t="b">
        <v>1</v>
      </c>
    </row>
    <row r="34">
      <c r="A34" s="127"/>
      <c r="B34" s="82" t="str">
        <f t="shared" si="13"/>
        <v>Read (~20 min)</v>
      </c>
      <c r="C34" s="26" t="b">
        <v>0</v>
      </c>
      <c r="D34" s="26" t="b">
        <v>1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0.7</v>
      </c>
      <c r="V34" s="69">
        <f t="shared" si="15"/>
        <v>0.7</v>
      </c>
    </row>
    <row r="35">
      <c r="A35" s="133"/>
      <c r="B35" s="81" t="str">
        <f t="shared" si="13"/>
        <v>Vitamins</v>
      </c>
      <c r="C35" s="26" t="b">
        <v>1</v>
      </c>
      <c r="D35" s="26" t="b">
        <v>1</v>
      </c>
      <c r="E35" s="26" t="b">
        <v>1</v>
      </c>
      <c r="F35" s="27" t="b">
        <v>0</v>
      </c>
      <c r="G35" s="26" t="b">
        <v>1</v>
      </c>
      <c r="H35" s="26" t="b">
        <v>1</v>
      </c>
      <c r="I35" s="32" t="b">
        <v>1</v>
      </c>
      <c r="J35" s="30"/>
      <c r="K35" s="81" t="str">
        <f t="shared" si="14"/>
        <v>Vitamins</v>
      </c>
      <c r="L35" s="26" t="b">
        <v>1</v>
      </c>
      <c r="M35" s="26" t="b">
        <v>1</v>
      </c>
      <c r="N35" s="26" t="b">
        <v>1</v>
      </c>
      <c r="O35" s="26" t="b">
        <v>1</v>
      </c>
      <c r="P35" s="26" t="b">
        <v>1</v>
      </c>
      <c r="Q35" s="26" t="b">
        <v>1</v>
      </c>
      <c r="R35" s="29" t="b">
        <v>0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1</v>
      </c>
      <c r="D36" s="38" t="b">
        <v>1</v>
      </c>
      <c r="E36" s="38" t="b">
        <v>1</v>
      </c>
      <c r="F36" s="67" t="b">
        <v>0</v>
      </c>
      <c r="G36" s="38" t="b">
        <v>0</v>
      </c>
      <c r="H36" s="38" t="b">
        <v>1</v>
      </c>
      <c r="I36" s="39" t="b">
        <v>0</v>
      </c>
      <c r="J36" s="30"/>
      <c r="K36" s="81" t="str">
        <f>B36</f>
        <v>Duolingo</v>
      </c>
      <c r="L36" s="26" t="b">
        <v>1</v>
      </c>
      <c r="M36" s="26" t="b">
        <v>1</v>
      </c>
      <c r="N36" s="26" t="b">
        <v>1</v>
      </c>
      <c r="O36" s="26" t="b">
        <v>0</v>
      </c>
      <c r="P36" s="26" t="b">
        <v>1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0.6666666667</v>
      </c>
      <c r="D37" s="44">
        <f t="shared" si="16"/>
        <v>0.75</v>
      </c>
      <c r="E37" s="44">
        <f t="shared" si="16"/>
        <v>0.5833333333</v>
      </c>
      <c r="F37" s="44">
        <f t="shared" si="16"/>
        <v>0.3333333333</v>
      </c>
      <c r="G37" s="44">
        <f t="shared" si="16"/>
        <v>0.3333333333</v>
      </c>
      <c r="H37" s="44">
        <f t="shared" si="16"/>
        <v>0.4166666667</v>
      </c>
      <c r="I37" s="45">
        <f t="shared" si="16"/>
        <v>0.5</v>
      </c>
      <c r="J37" s="21"/>
      <c r="K37" s="89" t="s">
        <v>27</v>
      </c>
      <c r="L37" s="44">
        <f t="shared" ref="L37:R37" si="17">COUNTIF(L25:L35,True)/COUNTA(L25:L35)</f>
        <v>0.7272727273</v>
      </c>
      <c r="M37" s="44">
        <f t="shared" si="17"/>
        <v>0.5454545455</v>
      </c>
      <c r="N37" s="44">
        <f t="shared" si="17"/>
        <v>0.5454545455</v>
      </c>
      <c r="O37" s="44">
        <f t="shared" si="17"/>
        <v>0.5454545455</v>
      </c>
      <c r="P37" s="44">
        <f t="shared" si="17"/>
        <v>0.6363636364</v>
      </c>
      <c r="Q37" s="44">
        <f t="shared" si="17"/>
        <v>0.5454545455</v>
      </c>
      <c r="R37" s="45">
        <f t="shared" si="17"/>
        <v>0.3636363636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f>EDATE(January2024!B3,1)</f>
        <v>45323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January2024!R23+1</f>
        <v>45320</v>
      </c>
      <c r="D5" s="98">
        <f t="shared" ref="D5:I5" si="1">C5+1</f>
        <v>45321</v>
      </c>
      <c r="E5" s="98">
        <f t="shared" si="1"/>
        <v>45322</v>
      </c>
      <c r="F5" s="98">
        <f t="shared" si="1"/>
        <v>45323</v>
      </c>
      <c r="G5" s="98">
        <f t="shared" si="1"/>
        <v>45324</v>
      </c>
      <c r="H5" s="98">
        <f t="shared" si="1"/>
        <v>45325</v>
      </c>
      <c r="I5" s="125">
        <f t="shared" si="1"/>
        <v>45326</v>
      </c>
      <c r="J5" s="17"/>
      <c r="K5" s="126" t="s">
        <v>2</v>
      </c>
      <c r="L5" s="98">
        <f>I5+1</f>
        <v>45327</v>
      </c>
      <c r="M5" s="98">
        <f t="shared" ref="M5:R5" si="2">L5+1</f>
        <v>45328</v>
      </c>
      <c r="N5" s="98">
        <f t="shared" si="2"/>
        <v>45329</v>
      </c>
      <c r="O5" s="98">
        <f t="shared" si="2"/>
        <v>45330</v>
      </c>
      <c r="P5" s="98">
        <f t="shared" si="2"/>
        <v>45331</v>
      </c>
      <c r="Q5" s="98">
        <f t="shared" si="2"/>
        <v>45332</v>
      </c>
      <c r="R5" s="125">
        <f t="shared" si="2"/>
        <v>45333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1</v>
      </c>
      <c r="F7" s="28" t="b">
        <v>1</v>
      </c>
      <c r="G7" s="26" t="b">
        <v>1</v>
      </c>
      <c r="H7" s="26" t="b">
        <v>1</v>
      </c>
      <c r="I7" s="32" t="b">
        <v>0</v>
      </c>
      <c r="J7" s="30"/>
      <c r="K7" s="81" t="str">
        <f t="shared" ref="K7:K18" si="5">B7</f>
        <v>Exercise</v>
      </c>
      <c r="L7" s="26" t="b">
        <v>1</v>
      </c>
      <c r="M7" s="26" t="b">
        <v>0</v>
      </c>
      <c r="N7" s="26" t="b">
        <v>1</v>
      </c>
      <c r="O7" s="26" t="b">
        <v>0</v>
      </c>
      <c r="P7" s="26" t="b">
        <v>1</v>
      </c>
      <c r="Q7" s="26" t="b">
        <v>1</v>
      </c>
      <c r="R7" s="32" t="b">
        <v>1</v>
      </c>
      <c r="X7" s="129">
        <f>(SUM(C19:I19)+3*SUM(U19:V19) + SUM(L19:R19) + SUM(C37:I37) + SUM(L37:R37) + 3*SUM(U34:V34) + 5*SUM(Y22))/45</f>
        <v>0.6918181818</v>
      </c>
    </row>
    <row r="8">
      <c r="A8" s="128"/>
      <c r="B8" s="79" t="s">
        <v>7</v>
      </c>
      <c r="C8" s="26" t="b">
        <v>1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1</v>
      </c>
      <c r="J8" s="30"/>
      <c r="K8" s="81" t="str">
        <f t="shared" si="5"/>
        <v>Stretch/Yoga (&gt;20min)</v>
      </c>
      <c r="L8" s="26" t="b">
        <v>1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314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1</v>
      </c>
      <c r="R9" s="32" t="b">
        <v>1</v>
      </c>
      <c r="T9" s="82" t="s">
        <v>6</v>
      </c>
      <c r="U9" s="26" t="b">
        <v>1</v>
      </c>
      <c r="V9" s="32" t="b">
        <v>1</v>
      </c>
      <c r="X9" s="131">
        <f>X8 + January2024!X9</f>
        <v>517</v>
      </c>
    </row>
    <row r="10">
      <c r="A10" s="128"/>
      <c r="B10" s="79" t="s">
        <v>11</v>
      </c>
      <c r="C10" s="26" t="b">
        <v>1</v>
      </c>
      <c r="D10" s="26" t="b">
        <v>1</v>
      </c>
      <c r="E10" s="26" t="b">
        <v>1</v>
      </c>
      <c r="F10" s="26" t="b">
        <v>1</v>
      </c>
      <c r="G10" s="26" t="b">
        <v>1</v>
      </c>
      <c r="H10" s="26" t="b">
        <v>1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0</v>
      </c>
      <c r="O10" s="26" t="b">
        <v>1</v>
      </c>
      <c r="P10" s="26" t="b">
        <v>1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1</v>
      </c>
      <c r="D11" s="26" t="b">
        <v>1</v>
      </c>
      <c r="E11" s="26" t="b">
        <v>1</v>
      </c>
      <c r="F11" s="26" t="b">
        <v>1</v>
      </c>
      <c r="G11" s="26" t="b">
        <v>0</v>
      </c>
      <c r="H11" s="26" t="b">
        <v>1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1</v>
      </c>
      <c r="O11" s="26" t="b">
        <v>1</v>
      </c>
      <c r="P11" s="26" t="b">
        <v>1</v>
      </c>
      <c r="Q11" s="26" t="b">
        <v>1</v>
      </c>
      <c r="R11" s="32" t="b">
        <v>1</v>
      </c>
      <c r="T11" s="82" t="s">
        <v>10</v>
      </c>
      <c r="U11" s="26" t="b">
        <v>1</v>
      </c>
      <c r="V11" s="32" t="b">
        <v>1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1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55</v>
      </c>
      <c r="U13" s="26" t="b">
        <v>1</v>
      </c>
      <c r="V13" s="32" t="b">
        <v>1</v>
      </c>
    </row>
    <row r="14">
      <c r="A14" s="128"/>
      <c r="B14" s="79" t="s">
        <v>19</v>
      </c>
      <c r="C14" s="26" t="b">
        <v>1</v>
      </c>
      <c r="D14" s="26" t="b">
        <v>1</v>
      </c>
      <c r="E14" s="26" t="b">
        <v>1</v>
      </c>
      <c r="F14" s="26" t="b">
        <v>1</v>
      </c>
      <c r="G14" s="26" t="b">
        <v>0</v>
      </c>
      <c r="H14" s="26" t="b">
        <v>0</v>
      </c>
      <c r="I14" s="32" t="b">
        <v>1</v>
      </c>
      <c r="J14" s="30"/>
      <c r="K14" s="81" t="str">
        <f t="shared" si="5"/>
        <v>7 hours sleep</v>
      </c>
      <c r="L14" s="26" t="b">
        <v>0</v>
      </c>
      <c r="M14" s="26" t="b">
        <v>0</v>
      </c>
      <c r="N14" s="26" t="b">
        <v>1</v>
      </c>
      <c r="O14" s="26" t="b">
        <v>1</v>
      </c>
      <c r="P14" s="26" t="b">
        <v>1</v>
      </c>
      <c r="Q14" s="26" t="b">
        <v>1</v>
      </c>
      <c r="R14" s="32" t="b">
        <v>0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1</v>
      </c>
      <c r="D15" s="26" t="b">
        <v>1</v>
      </c>
      <c r="E15" s="26" t="b">
        <v>0</v>
      </c>
      <c r="F15" s="26" t="b">
        <v>0</v>
      </c>
      <c r="G15" s="26" t="b">
        <v>1</v>
      </c>
      <c r="H15" s="26" t="b">
        <v>1</v>
      </c>
      <c r="I15" s="32" t="b">
        <v>0</v>
      </c>
      <c r="J15" s="30"/>
      <c r="K15" s="81" t="str">
        <f t="shared" si="5"/>
        <v>Clean (~20 min)</v>
      </c>
      <c r="L15" s="26" t="b">
        <v>1</v>
      </c>
      <c r="M15" s="26" t="b">
        <v>1</v>
      </c>
      <c r="N15" s="26" t="b">
        <v>0</v>
      </c>
      <c r="O15" s="26" t="b">
        <v>0</v>
      </c>
      <c r="P15" s="26" t="b">
        <v>0</v>
      </c>
      <c r="Q15" s="26" t="b">
        <v>1</v>
      </c>
      <c r="R15" s="32" t="b">
        <v>1</v>
      </c>
      <c r="T15" s="82" t="s">
        <v>18</v>
      </c>
      <c r="U15" s="26" t="b">
        <v>1</v>
      </c>
      <c r="V15" s="32" t="b">
        <v>1</v>
      </c>
    </row>
    <row r="16">
      <c r="A16" s="128"/>
      <c r="B16" s="79" t="s">
        <v>23</v>
      </c>
      <c r="C16" s="26" t="b">
        <v>1</v>
      </c>
      <c r="D16" s="26" t="b">
        <v>0</v>
      </c>
      <c r="E16" s="26" t="b">
        <v>1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1</v>
      </c>
      <c r="D17" s="26" t="b">
        <v>0</v>
      </c>
      <c r="E17" s="26" t="b">
        <v>1</v>
      </c>
      <c r="F17" s="26" t="b">
        <v>0</v>
      </c>
      <c r="G17" s="26" t="b">
        <v>0</v>
      </c>
      <c r="H17" s="26" t="b">
        <v>1</v>
      </c>
      <c r="I17" s="32" t="b">
        <v>1</v>
      </c>
      <c r="J17" s="30"/>
      <c r="K17" s="81" t="str">
        <f t="shared" si="5"/>
        <v>Vitamins</v>
      </c>
      <c r="L17" s="26" t="b">
        <v>1</v>
      </c>
      <c r="M17" s="26" t="b">
        <v>1</v>
      </c>
      <c r="N17" s="26" t="b">
        <v>1</v>
      </c>
      <c r="O17" s="26" t="b">
        <v>0</v>
      </c>
      <c r="P17" s="26" t="b">
        <v>0</v>
      </c>
      <c r="Q17" s="26" t="b">
        <v>1</v>
      </c>
      <c r="R17" s="32" t="b">
        <v>0</v>
      </c>
      <c r="T17" s="82" t="s">
        <v>22</v>
      </c>
      <c r="U17" s="26" t="b">
        <v>1</v>
      </c>
      <c r="V17" s="32" t="b">
        <v>1</v>
      </c>
      <c r="X17" s="82" t="s">
        <v>28</v>
      </c>
      <c r="Y17" s="32" t="b">
        <v>1</v>
      </c>
    </row>
    <row r="18">
      <c r="A18" s="133"/>
      <c r="B18" s="86" t="s">
        <v>46</v>
      </c>
      <c r="C18" s="38" t="b">
        <v>1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1</v>
      </c>
      <c r="P18" s="26" t="b">
        <v>0</v>
      </c>
      <c r="Q18" s="26" t="b">
        <v>1</v>
      </c>
      <c r="R18" s="32" t="b">
        <v>0</v>
      </c>
      <c r="T18" s="85" t="s">
        <v>24</v>
      </c>
      <c r="U18" s="38" t="b">
        <v>1</v>
      </c>
      <c r="V18" s="39" t="b">
        <v>1</v>
      </c>
      <c r="X18" s="82" t="s">
        <v>47</v>
      </c>
      <c r="Y18" s="32" t="b">
        <v>1</v>
      </c>
    </row>
    <row r="19">
      <c r="A19" s="127"/>
      <c r="B19" s="88" t="s">
        <v>27</v>
      </c>
      <c r="C19" s="44">
        <f t="shared" ref="C19:I19" si="6">COUNTIF(C7:C18,True)/COUNTA(C7:C18)</f>
        <v>0.8333333333</v>
      </c>
      <c r="D19" s="44">
        <f t="shared" si="6"/>
        <v>0.5</v>
      </c>
      <c r="E19" s="44">
        <f t="shared" si="6"/>
        <v>0.5833333333</v>
      </c>
      <c r="F19" s="44">
        <f t="shared" si="6"/>
        <v>0.4166666667</v>
      </c>
      <c r="G19" s="44">
        <f t="shared" si="6"/>
        <v>0.3333333333</v>
      </c>
      <c r="H19" s="44">
        <f t="shared" si="6"/>
        <v>0.5</v>
      </c>
      <c r="I19" s="45">
        <f t="shared" si="6"/>
        <v>0.5</v>
      </c>
      <c r="J19" s="21"/>
      <c r="K19" s="89" t="s">
        <v>27</v>
      </c>
      <c r="L19" s="44">
        <f t="shared" ref="L19:R19" si="7">COUNTIF(L7:L18,True)/COUNTA(L7:L18)</f>
        <v>0.5833333333</v>
      </c>
      <c r="M19" s="44">
        <f t="shared" si="7"/>
        <v>0.4166666667</v>
      </c>
      <c r="N19" s="44">
        <f t="shared" si="7"/>
        <v>0.4166666667</v>
      </c>
      <c r="O19" s="44">
        <f t="shared" si="7"/>
        <v>0.4166666667</v>
      </c>
      <c r="P19" s="44">
        <f t="shared" si="7"/>
        <v>0.4166666667</v>
      </c>
      <c r="Q19" s="44">
        <f t="shared" si="7"/>
        <v>0.5833333333</v>
      </c>
      <c r="R19" s="44">
        <f t="shared" si="7"/>
        <v>0.3333333333</v>
      </c>
      <c r="T19" s="88" t="s">
        <v>27</v>
      </c>
      <c r="U19" s="44">
        <f t="shared" ref="U19:V19" si="8">COUNTIF(U9:U18,True)/COUNTA(U9:U18)</f>
        <v>1</v>
      </c>
      <c r="V19" s="45">
        <f t="shared" si="8"/>
        <v>1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1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1</v>
      </c>
      <c r="Z22" s="56"/>
      <c r="AA22" s="56"/>
    </row>
    <row r="23">
      <c r="A23" s="127"/>
      <c r="B23" s="107" t="s">
        <v>35</v>
      </c>
      <c r="C23" s="97">
        <f>R5+1</f>
        <v>45334</v>
      </c>
      <c r="D23" s="108">
        <f t="shared" ref="D23:I23" si="9">C23+1</f>
        <v>45335</v>
      </c>
      <c r="E23" s="108">
        <f t="shared" si="9"/>
        <v>45336</v>
      </c>
      <c r="F23" s="108">
        <f t="shared" si="9"/>
        <v>45337</v>
      </c>
      <c r="G23" s="108">
        <f t="shared" si="9"/>
        <v>45338</v>
      </c>
      <c r="H23" s="108">
        <f t="shared" si="9"/>
        <v>45339</v>
      </c>
      <c r="I23" s="111">
        <f t="shared" si="9"/>
        <v>45340</v>
      </c>
      <c r="J23" s="52"/>
      <c r="K23" s="110" t="s">
        <v>36</v>
      </c>
      <c r="L23" s="108">
        <f>I23+1</f>
        <v>45341</v>
      </c>
      <c r="M23" s="108">
        <f t="shared" ref="M23:R23" si="10">L23+1</f>
        <v>45342</v>
      </c>
      <c r="N23" s="108">
        <f t="shared" si="10"/>
        <v>45343</v>
      </c>
      <c r="O23" s="108">
        <f t="shared" si="10"/>
        <v>45344</v>
      </c>
      <c r="P23" s="108">
        <f t="shared" si="10"/>
        <v>45345</v>
      </c>
      <c r="Q23" s="108">
        <f t="shared" si="10"/>
        <v>45346</v>
      </c>
      <c r="R23" s="111">
        <f t="shared" si="10"/>
        <v>45347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1</v>
      </c>
      <c r="D25" s="26" t="b">
        <v>1</v>
      </c>
      <c r="E25" s="27" t="b">
        <v>0</v>
      </c>
      <c r="F25" s="28" t="b">
        <v>1</v>
      </c>
      <c r="G25" s="27" t="b">
        <v>0</v>
      </c>
      <c r="H25" s="26" t="b">
        <v>1</v>
      </c>
      <c r="I25" s="32" t="b">
        <v>1</v>
      </c>
      <c r="J25" s="30"/>
      <c r="K25" s="81" t="str">
        <f t="shared" ref="K25:K35" si="14">B7</f>
        <v>Exercise</v>
      </c>
      <c r="L25" s="26" t="b">
        <v>1</v>
      </c>
      <c r="M25" s="26" t="b">
        <v>1</v>
      </c>
      <c r="N25" s="26" t="b">
        <v>0</v>
      </c>
      <c r="O25" s="26" t="b">
        <v>1</v>
      </c>
      <c r="P25" s="26" t="b">
        <v>0</v>
      </c>
      <c r="Q25" s="26" t="b">
        <v>0</v>
      </c>
      <c r="R25" s="32" t="b">
        <v>1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1</v>
      </c>
      <c r="E26" s="27" t="b">
        <v>0</v>
      </c>
      <c r="F26" s="27" t="b">
        <v>0</v>
      </c>
      <c r="G26" s="26" t="b">
        <v>0</v>
      </c>
      <c r="H26" s="26" t="b">
        <v>1</v>
      </c>
      <c r="I26" s="32" t="b">
        <v>0</v>
      </c>
      <c r="J26" s="30"/>
      <c r="K26" s="81" t="str">
        <f t="shared" si="14"/>
        <v>Stretch/Yoga (&gt;20min)</v>
      </c>
      <c r="L26" s="26" t="b">
        <v>1</v>
      </c>
      <c r="M26" s="26" t="b">
        <v>1</v>
      </c>
      <c r="N26" s="26" t="b">
        <v>1</v>
      </c>
      <c r="O26" s="26" t="b">
        <v>1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6" t="b">
        <v>1</v>
      </c>
      <c r="H27" s="26" t="b">
        <v>1</v>
      </c>
      <c r="I27" s="32" t="b">
        <v>1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0</v>
      </c>
      <c r="R27" s="32" t="b">
        <v>1</v>
      </c>
      <c r="T27" s="82" t="s">
        <v>12</v>
      </c>
      <c r="U27" s="26" t="b">
        <v>1</v>
      </c>
      <c r="V27" s="32" t="b">
        <v>1</v>
      </c>
    </row>
    <row r="28">
      <c r="A28" s="127"/>
      <c r="B28" s="82" t="str">
        <f t="shared" si="13"/>
        <v>Eat in</v>
      </c>
      <c r="C28" s="26" t="b">
        <v>1</v>
      </c>
      <c r="D28" s="26" t="b">
        <v>1</v>
      </c>
      <c r="E28" s="26" t="b">
        <v>1</v>
      </c>
      <c r="F28" s="26" t="b">
        <v>1</v>
      </c>
      <c r="G28" s="26" t="b">
        <v>0</v>
      </c>
      <c r="H28" s="26" t="b">
        <v>0</v>
      </c>
      <c r="I28" s="32" t="b">
        <v>1</v>
      </c>
      <c r="J28" s="30"/>
      <c r="K28" s="81" t="str">
        <f t="shared" si="14"/>
        <v>Eat in</v>
      </c>
      <c r="L28" s="26" t="b">
        <v>1</v>
      </c>
      <c r="M28" s="26" t="b">
        <v>1</v>
      </c>
      <c r="N28" s="26" t="b">
        <v>1</v>
      </c>
      <c r="O28" s="26" t="b">
        <v>1</v>
      </c>
      <c r="P28" s="26" t="b">
        <v>1</v>
      </c>
      <c r="Q28" s="26" t="b">
        <v>0</v>
      </c>
      <c r="R28" s="29" t="b">
        <v>0</v>
      </c>
      <c r="T28" s="82" t="s">
        <v>55</v>
      </c>
      <c r="U28" s="26" t="b">
        <v>1</v>
      </c>
      <c r="V28" s="32" t="b">
        <v>1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1</v>
      </c>
      <c r="E29" s="26" t="b">
        <v>0</v>
      </c>
      <c r="F29" s="27" t="b">
        <v>0</v>
      </c>
      <c r="G29" s="26" t="b">
        <v>1</v>
      </c>
      <c r="H29" s="26" t="b">
        <v>0</v>
      </c>
      <c r="I29" s="32" t="b">
        <v>1</v>
      </c>
      <c r="J29" s="30"/>
      <c r="K29" s="95" t="str">
        <f t="shared" si="14"/>
        <v>Review Budget/Goals</v>
      </c>
      <c r="L29" s="26" t="b">
        <v>1</v>
      </c>
      <c r="M29" s="26" t="b">
        <v>1</v>
      </c>
      <c r="N29" s="26" t="b">
        <v>1</v>
      </c>
      <c r="O29" s="26" t="b">
        <v>1</v>
      </c>
      <c r="P29" s="26" t="b">
        <v>1</v>
      </c>
      <c r="Q29" s="26" t="b">
        <v>1</v>
      </c>
      <c r="R29" s="29" t="b">
        <v>0</v>
      </c>
      <c r="T29" s="82" t="s">
        <v>16</v>
      </c>
      <c r="U29" s="26" t="b">
        <v>1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1</v>
      </c>
      <c r="D30" s="26" t="b">
        <v>1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1</v>
      </c>
      <c r="J30" s="30"/>
      <c r="K30" s="81" t="str">
        <f t="shared" si="14"/>
        <v>(2x)Brush+(1x)Floss</v>
      </c>
      <c r="L30" s="26" t="b">
        <v>1</v>
      </c>
      <c r="M30" s="26" t="b">
        <v>1</v>
      </c>
      <c r="N30" s="26" t="b">
        <v>1</v>
      </c>
      <c r="O30" s="26" t="b">
        <v>1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32" t="b">
        <v>0</v>
      </c>
    </row>
    <row r="31">
      <c r="A31" s="127"/>
      <c r="B31" s="82" t="str">
        <f t="shared" si="13"/>
        <v>Water (3L)</v>
      </c>
      <c r="C31" s="26" t="b">
        <v>0</v>
      </c>
      <c r="D31" s="26" t="b">
        <v>1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1</v>
      </c>
      <c r="D32" s="26" t="b">
        <v>0</v>
      </c>
      <c r="E32" s="27" t="b">
        <v>0</v>
      </c>
      <c r="F32" s="27" t="b">
        <v>0</v>
      </c>
      <c r="G32" s="27" t="b">
        <v>0</v>
      </c>
      <c r="H32" s="26" t="b">
        <v>1</v>
      </c>
      <c r="I32" s="32" t="b">
        <v>1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1</v>
      </c>
      <c r="O32" s="26" t="b">
        <v>1</v>
      </c>
      <c r="P32" s="26" t="b">
        <v>1</v>
      </c>
      <c r="Q32" s="26" t="b">
        <v>1</v>
      </c>
      <c r="R32" s="32" t="b">
        <v>0</v>
      </c>
      <c r="T32" s="82" t="s">
        <v>22</v>
      </c>
      <c r="U32" s="26" t="b">
        <v>1</v>
      </c>
      <c r="V32" s="32" t="b">
        <v>1</v>
      </c>
    </row>
    <row r="33">
      <c r="A33" s="127"/>
      <c r="B33" s="82" t="str">
        <f t="shared" si="13"/>
        <v>Clean (~20 min)</v>
      </c>
      <c r="C33" s="26" t="b">
        <v>1</v>
      </c>
      <c r="D33" s="26" t="b">
        <v>1</v>
      </c>
      <c r="E33" s="26" t="b">
        <v>1</v>
      </c>
      <c r="F33" s="27" t="b">
        <v>0</v>
      </c>
      <c r="G33" s="26" t="b">
        <v>1</v>
      </c>
      <c r="H33" s="26" t="b">
        <v>1</v>
      </c>
      <c r="I33" s="32" t="b">
        <v>1</v>
      </c>
      <c r="J33" s="30"/>
      <c r="K33" s="81" t="str">
        <f t="shared" si="14"/>
        <v>Clean (~20 min)</v>
      </c>
      <c r="L33" s="26" t="b">
        <v>1</v>
      </c>
      <c r="M33" s="26" t="b">
        <v>0</v>
      </c>
      <c r="N33" s="26" t="b">
        <v>1</v>
      </c>
      <c r="O33" s="26" t="b">
        <v>0</v>
      </c>
      <c r="P33" s="26" t="b">
        <v>1</v>
      </c>
      <c r="Q33" s="26" t="b">
        <v>1</v>
      </c>
      <c r="R33" s="29" t="b">
        <v>0</v>
      </c>
      <c r="T33" s="85" t="s">
        <v>24</v>
      </c>
      <c r="U33" s="38" t="b">
        <v>1</v>
      </c>
      <c r="V33" s="39" t="b">
        <v>1</v>
      </c>
    </row>
    <row r="34">
      <c r="A34" s="127"/>
      <c r="B34" s="82" t="str">
        <f t="shared" si="13"/>
        <v>Read (~20 min)</v>
      </c>
      <c r="C34" s="26" t="b">
        <v>0</v>
      </c>
      <c r="D34" s="26" t="b">
        <v>0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1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1</v>
      </c>
      <c r="V34" s="69">
        <f t="shared" si="15"/>
        <v>0.9</v>
      </c>
    </row>
    <row r="35">
      <c r="A35" s="133"/>
      <c r="B35" s="81" t="str">
        <f t="shared" si="13"/>
        <v>Vitamins</v>
      </c>
      <c r="C35" s="26" t="b">
        <v>1</v>
      </c>
      <c r="D35" s="26" t="b">
        <v>1</v>
      </c>
      <c r="E35" s="26" t="b">
        <v>1</v>
      </c>
      <c r="F35" s="26" t="b">
        <v>0</v>
      </c>
      <c r="G35" s="26" t="b">
        <v>1</v>
      </c>
      <c r="H35" s="26" t="b">
        <v>0</v>
      </c>
      <c r="I35" s="32" t="b">
        <v>1</v>
      </c>
      <c r="J35" s="30"/>
      <c r="K35" s="81" t="str">
        <f t="shared" si="14"/>
        <v>Vitamins</v>
      </c>
      <c r="L35" s="26" t="b">
        <v>1</v>
      </c>
      <c r="M35" s="26" t="b">
        <v>1</v>
      </c>
      <c r="N35" s="26" t="b">
        <v>1</v>
      </c>
      <c r="O35" s="26" t="b">
        <v>1</v>
      </c>
      <c r="P35" s="26" t="b">
        <v>1</v>
      </c>
      <c r="Q35" s="26" t="b">
        <v>0</v>
      </c>
      <c r="R35" s="32" t="b">
        <v>1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1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1</v>
      </c>
      <c r="M36" s="26" t="b">
        <v>1</v>
      </c>
      <c r="N36" s="26" t="b">
        <v>1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0.5833333333</v>
      </c>
      <c r="D37" s="44">
        <f t="shared" si="16"/>
        <v>0.8333333333</v>
      </c>
      <c r="E37" s="44">
        <f t="shared" si="16"/>
        <v>0.3333333333</v>
      </c>
      <c r="F37" s="44">
        <f t="shared" si="16"/>
        <v>0.25</v>
      </c>
      <c r="G37" s="44">
        <f t="shared" si="16"/>
        <v>0.3333333333</v>
      </c>
      <c r="H37" s="44">
        <f t="shared" si="16"/>
        <v>0.4166666667</v>
      </c>
      <c r="I37" s="45">
        <f t="shared" si="16"/>
        <v>0.6666666667</v>
      </c>
      <c r="J37" s="21"/>
      <c r="K37" s="89" t="s">
        <v>27</v>
      </c>
      <c r="L37" s="44">
        <f t="shared" ref="L37:R37" si="17">COUNTIF(L25:L35,True)/COUNTA(L25:L35)</f>
        <v>0.8181818182</v>
      </c>
      <c r="M37" s="44">
        <f t="shared" si="17"/>
        <v>0.7272727273</v>
      </c>
      <c r="N37" s="44">
        <f t="shared" si="17"/>
        <v>0.7272727273</v>
      </c>
      <c r="O37" s="44">
        <f t="shared" si="17"/>
        <v>0.8181818182</v>
      </c>
      <c r="P37" s="44">
        <f t="shared" si="17"/>
        <v>0.5454545455</v>
      </c>
      <c r="Q37" s="44">
        <f t="shared" si="17"/>
        <v>0.2727272727</v>
      </c>
      <c r="R37" s="45">
        <f t="shared" si="17"/>
        <v>0.2727272727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0.6139393939</v>
      </c>
    </row>
    <row r="3">
      <c r="A3" s="120"/>
      <c r="B3" s="8">
        <f>EDATE(February2024!B3,1)</f>
        <v>45352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366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February2024!X9</f>
        <v>883</v>
      </c>
    </row>
    <row r="5">
      <c r="A5" s="124"/>
      <c r="B5" s="96" t="s">
        <v>1</v>
      </c>
      <c r="C5" s="97">
        <f>February2024!R23+1</f>
        <v>45348</v>
      </c>
      <c r="D5" s="98">
        <f t="shared" ref="D5:I5" si="1">C5+1</f>
        <v>45349</v>
      </c>
      <c r="E5" s="98">
        <f t="shared" si="1"/>
        <v>45350</v>
      </c>
      <c r="F5" s="98">
        <f t="shared" si="1"/>
        <v>45351</v>
      </c>
      <c r="G5" s="98">
        <f t="shared" si="1"/>
        <v>45352</v>
      </c>
      <c r="H5" s="98">
        <f t="shared" si="1"/>
        <v>45353</v>
      </c>
      <c r="I5" s="125">
        <f t="shared" si="1"/>
        <v>45354</v>
      </c>
      <c r="J5" s="17"/>
      <c r="K5" s="126" t="s">
        <v>2</v>
      </c>
      <c r="L5" s="98">
        <f>I5+1</f>
        <v>45355</v>
      </c>
      <c r="M5" s="98">
        <f t="shared" ref="M5:R5" si="2">L5+1</f>
        <v>45356</v>
      </c>
      <c r="N5" s="98">
        <f t="shared" si="2"/>
        <v>45357</v>
      </c>
      <c r="O5" s="98">
        <f t="shared" si="2"/>
        <v>45358</v>
      </c>
      <c r="P5" s="98">
        <f t="shared" si="2"/>
        <v>45359</v>
      </c>
      <c r="Q5" s="98">
        <f t="shared" si="2"/>
        <v>45360</v>
      </c>
      <c r="R5" s="125">
        <f t="shared" si="2"/>
        <v>45361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1</v>
      </c>
      <c r="F7" s="28" t="b">
        <v>1</v>
      </c>
      <c r="G7" s="26" t="b">
        <v>0</v>
      </c>
      <c r="H7" s="26" t="b">
        <v>1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1</v>
      </c>
    </row>
    <row r="8">
      <c r="A8" s="128"/>
      <c r="B8" s="79" t="s">
        <v>7</v>
      </c>
      <c r="C8" s="26" t="b">
        <v>1</v>
      </c>
      <c r="D8" s="26" t="b">
        <v>1</v>
      </c>
      <c r="E8" s="26" t="b">
        <v>1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45376</v>
      </c>
      <c r="AA8" s="108">
        <f t="shared" ref="AA8:AF8" si="6">Z8+1</f>
        <v>45377</v>
      </c>
      <c r="AB8" s="108">
        <f t="shared" si="6"/>
        <v>45378</v>
      </c>
      <c r="AC8" s="108">
        <f t="shared" si="6"/>
        <v>45379</v>
      </c>
      <c r="AD8" s="108">
        <f t="shared" si="6"/>
        <v>45380</v>
      </c>
      <c r="AE8" s="108">
        <f t="shared" si="6"/>
        <v>45381</v>
      </c>
      <c r="AF8" s="111">
        <f t="shared" si="6"/>
        <v>45382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0</v>
      </c>
      <c r="Q9" s="26" t="b">
        <v>0</v>
      </c>
      <c r="R9" s="32" t="b">
        <v>1</v>
      </c>
      <c r="T9" s="82" t="s">
        <v>6</v>
      </c>
      <c r="U9" s="26" t="b">
        <v>1</v>
      </c>
      <c r="V9" s="32" t="b">
        <v>1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1</v>
      </c>
      <c r="D10" s="26" t="b">
        <v>1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1</v>
      </c>
      <c r="O10" s="26" t="b">
        <v>1</v>
      </c>
      <c r="P10" s="26" t="b">
        <v>0</v>
      </c>
      <c r="Q10" s="26" t="b">
        <v>1</v>
      </c>
      <c r="R10" s="32" t="b">
        <v>0</v>
      </c>
      <c r="T10" s="82" t="s">
        <v>8</v>
      </c>
      <c r="U10" s="26" t="b">
        <v>1</v>
      </c>
      <c r="V10" s="32" t="b">
        <v>1</v>
      </c>
      <c r="Y10" s="81" t="str">
        <f t="shared" ref="Y10:Y20" si="8">K7</f>
        <v>Exercise</v>
      </c>
      <c r="Z10" s="26" t="b">
        <v>1</v>
      </c>
      <c r="AA10" s="26" t="b">
        <v>1</v>
      </c>
      <c r="AB10" s="26" t="b">
        <v>0</v>
      </c>
      <c r="AC10" s="26" t="b">
        <v>0</v>
      </c>
      <c r="AD10" s="26" t="b">
        <v>0</v>
      </c>
      <c r="AE10" s="26" t="b">
        <v>1</v>
      </c>
      <c r="AF10" s="29" t="b">
        <v>0</v>
      </c>
      <c r="AG10" s="133"/>
    </row>
    <row r="11">
      <c r="A11" s="132"/>
      <c r="B11" s="95" t="s">
        <v>13</v>
      </c>
      <c r="C11" s="26" t="b">
        <v>1</v>
      </c>
      <c r="D11" s="26" t="b">
        <v>1</v>
      </c>
      <c r="E11" s="26" t="b">
        <v>1</v>
      </c>
      <c r="F11" s="26" t="b">
        <v>1</v>
      </c>
      <c r="G11" s="26" t="b">
        <v>1</v>
      </c>
      <c r="H11" s="26" t="b">
        <v>0</v>
      </c>
      <c r="I11" s="32" t="b">
        <v>1</v>
      </c>
      <c r="J11" s="30"/>
      <c r="K11" s="81" t="str">
        <f t="shared" si="5"/>
        <v>Review Budget/Goals</v>
      </c>
      <c r="L11" s="26" t="b">
        <v>0</v>
      </c>
      <c r="M11" s="26" t="b">
        <v>1</v>
      </c>
      <c r="N11" s="26" t="b">
        <v>0</v>
      </c>
      <c r="O11" s="26" t="b">
        <v>0</v>
      </c>
      <c r="P11" s="26" t="b">
        <v>1</v>
      </c>
      <c r="Q11" s="26" t="b">
        <v>1</v>
      </c>
      <c r="R11" s="32" t="b">
        <v>1</v>
      </c>
      <c r="T11" s="82" t="s">
        <v>10</v>
      </c>
      <c r="U11" s="26" t="b">
        <v>1</v>
      </c>
      <c r="V11" s="32" t="b">
        <v>1</v>
      </c>
      <c r="Y11" s="81" t="str">
        <f t="shared" si="8"/>
        <v>Stretch/Yoga (&gt;20min)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29" t="b">
        <v>0</v>
      </c>
      <c r="AG11" s="133"/>
    </row>
    <row r="12">
      <c r="A12" s="127"/>
      <c r="B12" s="82" t="s">
        <v>37</v>
      </c>
      <c r="C12" s="26" t="b">
        <v>1</v>
      </c>
      <c r="D12" s="26" t="b">
        <v>1</v>
      </c>
      <c r="E12" s="26" t="b">
        <v>0</v>
      </c>
      <c r="F12" s="26" t="b">
        <v>0</v>
      </c>
      <c r="G12" s="26" t="b">
        <v>1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1</v>
      </c>
      <c r="T12" s="82" t="s">
        <v>12</v>
      </c>
      <c r="U12" s="26" t="b">
        <v>0</v>
      </c>
      <c r="V12" s="32" t="b">
        <v>1</v>
      </c>
      <c r="Y12" s="81" t="str">
        <f t="shared" si="8"/>
        <v>Social Media (&lt;limit)</v>
      </c>
      <c r="Z12" s="26" t="b">
        <v>1</v>
      </c>
      <c r="AA12" s="26" t="b">
        <v>1</v>
      </c>
      <c r="AB12" s="26" t="b">
        <v>1</v>
      </c>
      <c r="AC12" s="26" t="b">
        <v>1</v>
      </c>
      <c r="AD12" s="26" t="b">
        <v>1</v>
      </c>
      <c r="AE12" s="26" t="b">
        <v>1</v>
      </c>
      <c r="AF12" s="32" t="b">
        <v>1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55</v>
      </c>
      <c r="U13" s="26" t="b">
        <v>0</v>
      </c>
      <c r="V13" s="32" t="b">
        <v>1</v>
      </c>
      <c r="Y13" s="81" t="str">
        <f t="shared" si="8"/>
        <v>Eat in</v>
      </c>
      <c r="Z13" s="26" t="b">
        <v>1</v>
      </c>
      <c r="AA13" s="26" t="b">
        <v>1</v>
      </c>
      <c r="AB13" s="26" t="b">
        <v>0</v>
      </c>
      <c r="AC13" s="26" t="b">
        <v>0</v>
      </c>
      <c r="AD13" s="26" t="b">
        <v>0</v>
      </c>
      <c r="AE13" s="26" t="b">
        <v>0</v>
      </c>
      <c r="AF13" s="32" t="b">
        <v>1</v>
      </c>
      <c r="AG13" s="133"/>
    </row>
    <row r="14">
      <c r="A14" s="128"/>
      <c r="B14" s="79" t="s">
        <v>19</v>
      </c>
      <c r="C14" s="26" t="b">
        <v>0</v>
      </c>
      <c r="D14" s="26" t="b">
        <v>1</v>
      </c>
      <c r="E14" s="26" t="b">
        <v>1</v>
      </c>
      <c r="F14" s="26" t="b">
        <v>0</v>
      </c>
      <c r="G14" s="26" t="b">
        <v>1</v>
      </c>
      <c r="H14" s="26" t="b">
        <v>1</v>
      </c>
      <c r="I14" s="32" t="b">
        <v>0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1</v>
      </c>
      <c r="P14" s="26" t="b">
        <v>1</v>
      </c>
      <c r="Q14" s="26" t="b">
        <v>1</v>
      </c>
      <c r="R14" s="32" t="b">
        <v>0</v>
      </c>
      <c r="T14" s="82" t="s">
        <v>16</v>
      </c>
      <c r="U14" s="26" t="b">
        <v>1</v>
      </c>
      <c r="V14" s="32" t="b">
        <v>1</v>
      </c>
      <c r="Y14" s="95" t="str">
        <f t="shared" si="8"/>
        <v>Review Budget/Goals</v>
      </c>
      <c r="Z14" s="26" t="b">
        <v>1</v>
      </c>
      <c r="AA14" s="26" t="b">
        <v>1</v>
      </c>
      <c r="AB14" s="26" t="b">
        <v>1</v>
      </c>
      <c r="AC14" s="26" t="b">
        <v>1</v>
      </c>
      <c r="AD14" s="26" t="b">
        <v>1</v>
      </c>
      <c r="AE14" s="26" t="b">
        <v>0</v>
      </c>
      <c r="AF14" s="32" t="b">
        <v>1</v>
      </c>
      <c r="AG14" s="133"/>
    </row>
    <row r="15">
      <c r="A15" s="128"/>
      <c r="B15" s="79" t="s">
        <v>21</v>
      </c>
      <c r="C15" s="26" t="b">
        <v>1</v>
      </c>
      <c r="D15" s="26" t="b">
        <v>1</v>
      </c>
      <c r="E15" s="26" t="b">
        <v>0</v>
      </c>
      <c r="F15" s="26" t="b">
        <v>0</v>
      </c>
      <c r="G15" s="26" t="b">
        <v>0</v>
      </c>
      <c r="H15" s="26" t="b">
        <v>1</v>
      </c>
      <c r="I15" s="32" t="b">
        <v>0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1</v>
      </c>
      <c r="P15" s="26" t="b">
        <v>1</v>
      </c>
      <c r="Q15" s="26" t="b">
        <v>1</v>
      </c>
      <c r="R15" s="32" t="b">
        <v>1</v>
      </c>
      <c r="T15" s="82" t="s">
        <v>18</v>
      </c>
      <c r="U15" s="26" t="b">
        <v>1</v>
      </c>
      <c r="V15" s="32" t="b">
        <v>1</v>
      </c>
      <c r="Y15" s="81" t="str">
        <f t="shared" si="8"/>
        <v>(2x)Brush+(1x)Floss</v>
      </c>
      <c r="Z15" s="26" t="b">
        <v>1</v>
      </c>
      <c r="AA15" s="26" t="b">
        <v>1</v>
      </c>
      <c r="AB15" s="26" t="b">
        <v>0</v>
      </c>
      <c r="AC15" s="26" t="b">
        <v>0</v>
      </c>
      <c r="AD15" s="26" t="b">
        <v>0</v>
      </c>
      <c r="AE15" s="26" t="b">
        <v>1</v>
      </c>
      <c r="AF15" s="32" t="b">
        <v>0</v>
      </c>
      <c r="AG15" s="133"/>
    </row>
    <row r="16">
      <c r="A16" s="128"/>
      <c r="B16" s="79" t="s">
        <v>23</v>
      </c>
      <c r="C16" s="26" t="b">
        <v>1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0</v>
      </c>
      <c r="V16" s="32" t="b">
        <v>1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1</v>
      </c>
      <c r="D17" s="26" t="b">
        <v>1</v>
      </c>
      <c r="E17" s="26" t="b">
        <v>1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1</v>
      </c>
      <c r="M17" s="26" t="b">
        <v>0</v>
      </c>
      <c r="N17" s="26" t="b">
        <v>0</v>
      </c>
      <c r="O17" s="26" t="b">
        <v>1</v>
      </c>
      <c r="P17" s="26" t="b">
        <v>0</v>
      </c>
      <c r="Q17" s="26" t="b">
        <v>1</v>
      </c>
      <c r="R17" s="32" t="b">
        <v>1</v>
      </c>
      <c r="T17" s="82" t="s">
        <v>22</v>
      </c>
      <c r="U17" s="26" t="b">
        <v>0</v>
      </c>
      <c r="V17" s="32" t="b">
        <v>1</v>
      </c>
      <c r="Y17" s="81" t="str">
        <f t="shared" si="8"/>
        <v>7 hours sleep</v>
      </c>
      <c r="Z17" s="26" t="b">
        <v>1</v>
      </c>
      <c r="AA17" s="26" t="b">
        <v>1</v>
      </c>
      <c r="AB17" s="26" t="b">
        <v>1</v>
      </c>
      <c r="AC17" s="26" t="b">
        <v>0</v>
      </c>
      <c r="AD17" s="26" t="b">
        <v>1</v>
      </c>
      <c r="AE17" s="26" t="b">
        <v>1</v>
      </c>
      <c r="AF17" s="32" t="b">
        <v>1</v>
      </c>
      <c r="AG17" s="133"/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1</v>
      </c>
      <c r="V18" s="39" t="b">
        <v>1</v>
      </c>
      <c r="Y18" s="81" t="str">
        <f t="shared" si="8"/>
        <v>Clean (~20 min)</v>
      </c>
      <c r="Z18" s="26" t="b">
        <v>1</v>
      </c>
      <c r="AA18" s="26" t="b">
        <v>1</v>
      </c>
      <c r="AB18" s="26" t="b">
        <v>0</v>
      </c>
      <c r="AC18" s="26" t="b">
        <v>0</v>
      </c>
      <c r="AD18" s="26" t="b">
        <v>1</v>
      </c>
      <c r="AE18" s="26" t="b">
        <v>1</v>
      </c>
      <c r="AF18" s="32" t="b">
        <v>1</v>
      </c>
      <c r="AG18" s="133"/>
    </row>
    <row r="19">
      <c r="A19" s="127"/>
      <c r="B19" s="88" t="s">
        <v>27</v>
      </c>
      <c r="C19" s="44">
        <f t="shared" ref="C19:I19" si="9">COUNTIF(C7:C18,True)/COUNTA(C7:C18)</f>
        <v>0.6666666667</v>
      </c>
      <c r="D19" s="44">
        <f t="shared" si="9"/>
        <v>0.6666666667</v>
      </c>
      <c r="E19" s="44">
        <f t="shared" si="9"/>
        <v>0.5</v>
      </c>
      <c r="F19" s="44">
        <f t="shared" si="9"/>
        <v>0.25</v>
      </c>
      <c r="G19" s="44">
        <f t="shared" si="9"/>
        <v>0.25</v>
      </c>
      <c r="H19" s="44">
        <f t="shared" si="9"/>
        <v>0.25</v>
      </c>
      <c r="I19" s="45">
        <f t="shared" si="9"/>
        <v>0.08333333333</v>
      </c>
      <c r="J19" s="21"/>
      <c r="K19" s="134" t="s">
        <v>27</v>
      </c>
      <c r="L19" s="135">
        <f t="shared" ref="L19:R19" si="10">COUNTIF(L7:L18,True)/COUNTA(L7:L18)</f>
        <v>0.4166666667</v>
      </c>
      <c r="M19" s="135">
        <f t="shared" si="10"/>
        <v>0.3333333333</v>
      </c>
      <c r="N19" s="135">
        <f t="shared" si="10"/>
        <v>0.25</v>
      </c>
      <c r="O19" s="135">
        <f t="shared" si="10"/>
        <v>0.4166666667</v>
      </c>
      <c r="P19" s="135">
        <f t="shared" si="10"/>
        <v>0.25</v>
      </c>
      <c r="Q19" s="135">
        <f t="shared" si="10"/>
        <v>0.4166666667</v>
      </c>
      <c r="R19" s="135">
        <f t="shared" si="10"/>
        <v>0.5</v>
      </c>
      <c r="T19" s="88" t="s">
        <v>27</v>
      </c>
      <c r="U19" s="44">
        <f t="shared" ref="U19:V19" si="11">COUNTIF(U9:U18,True)/COUNTA(U9:U18)</f>
        <v>0.6</v>
      </c>
      <c r="V19" s="45">
        <f t="shared" si="11"/>
        <v>1</v>
      </c>
      <c r="Y19" s="81" t="str">
        <f t="shared" si="8"/>
        <v>Read (~20 min)</v>
      </c>
      <c r="Z19" s="26" t="b">
        <v>1</v>
      </c>
      <c r="AA19" s="26" t="b">
        <v>1</v>
      </c>
      <c r="AB19" s="26" t="b">
        <v>1</v>
      </c>
      <c r="AC19" s="26" t="b">
        <v>0</v>
      </c>
      <c r="AD19" s="26" t="b">
        <v>0</v>
      </c>
      <c r="AE19" s="26" t="b">
        <v>0</v>
      </c>
      <c r="AF19" s="29" t="b">
        <v>0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1</v>
      </c>
      <c r="AA20" s="26" t="b">
        <v>1</v>
      </c>
      <c r="AB20" s="26" t="b">
        <v>1</v>
      </c>
      <c r="AC20" s="26" t="b">
        <v>0</v>
      </c>
      <c r="AD20" s="26" t="b">
        <v>0</v>
      </c>
      <c r="AE20" s="26" t="b">
        <v>1</v>
      </c>
      <c r="AF20" s="32" t="b">
        <v>1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1</v>
      </c>
      <c r="AA21" s="26" t="b">
        <v>1</v>
      </c>
      <c r="AB21" s="26" t="b">
        <v>1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COUNTIF(Z10:Z21,True)/COUNTA(Z10:Z21)</f>
        <v>0.8333333333</v>
      </c>
      <c r="AA22" s="135">
        <f t="shared" si="12"/>
        <v>0.8333333333</v>
      </c>
      <c r="AB22" s="135">
        <f t="shared" si="12"/>
        <v>0.5</v>
      </c>
      <c r="AC22" s="135">
        <f t="shared" si="12"/>
        <v>0.1666666667</v>
      </c>
      <c r="AD22" s="135">
        <f t="shared" si="12"/>
        <v>0.3333333333</v>
      </c>
      <c r="AE22" s="135">
        <f t="shared" si="12"/>
        <v>0.5</v>
      </c>
      <c r="AF22" s="135">
        <f t="shared" si="12"/>
        <v>0.5</v>
      </c>
      <c r="AG22" s="71"/>
    </row>
    <row r="23">
      <c r="A23" s="127"/>
      <c r="B23" s="139" t="s">
        <v>35</v>
      </c>
      <c r="C23" s="97">
        <f>R5+1</f>
        <v>45362</v>
      </c>
      <c r="D23" s="108">
        <f t="shared" ref="D23:I23" si="13">C23+1</f>
        <v>45363</v>
      </c>
      <c r="E23" s="108">
        <f t="shared" si="13"/>
        <v>45364</v>
      </c>
      <c r="F23" s="108">
        <f t="shared" si="13"/>
        <v>45365</v>
      </c>
      <c r="G23" s="108">
        <f t="shared" si="13"/>
        <v>45366</v>
      </c>
      <c r="H23" s="108">
        <f t="shared" si="13"/>
        <v>45367</v>
      </c>
      <c r="I23" s="111">
        <f t="shared" si="13"/>
        <v>45368</v>
      </c>
      <c r="J23" s="52"/>
      <c r="K23" s="110" t="s">
        <v>36</v>
      </c>
      <c r="L23" s="108">
        <f>I23+1</f>
        <v>45369</v>
      </c>
      <c r="M23" s="108">
        <f t="shared" ref="M23:R23" si="14">L23+1</f>
        <v>45370</v>
      </c>
      <c r="N23" s="108">
        <f t="shared" si="14"/>
        <v>45371</v>
      </c>
      <c r="O23" s="108">
        <f t="shared" si="14"/>
        <v>45372</v>
      </c>
      <c r="P23" s="108">
        <f t="shared" si="14"/>
        <v>45373</v>
      </c>
      <c r="Q23" s="108">
        <f t="shared" si="14"/>
        <v>45374</v>
      </c>
      <c r="R23" s="111">
        <f t="shared" si="14"/>
        <v>45375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1</v>
      </c>
      <c r="V24" s="26" t="b">
        <v>1</v>
      </c>
      <c r="W24" s="32" t="b">
        <v>1</v>
      </c>
      <c r="Y24" s="90" t="s">
        <v>48</v>
      </c>
      <c r="Z24" s="53" t="str">
        <f>IFERROR(__xludf.DUMMYFUNCTION("SPARKLINE((SUM(Z22:AF22)+3*W34)/10,{""charttype"",""bar"";""max"",1;""min"",0;""color1"",IF((SUM(Z22:AF22)+3*W34)/10&gt;0.7,""green"",IF((SUM(Z22:AF22)+3*W34)/10&gt;0.5,""yellow"",""red""))})"),"")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1</v>
      </c>
      <c r="D25" s="26" t="b">
        <v>1</v>
      </c>
      <c r="E25" s="26" t="b">
        <v>1</v>
      </c>
      <c r="F25" s="28" t="b">
        <v>1</v>
      </c>
      <c r="G25" s="26" t="b">
        <v>1</v>
      </c>
      <c r="H25" s="26" t="b">
        <v>1</v>
      </c>
      <c r="I25" s="32" t="b">
        <v>1</v>
      </c>
      <c r="J25" s="30"/>
      <c r="K25" s="81" t="str">
        <f t="shared" ref="K25:K35" si="18">B7</f>
        <v>Exercise</v>
      </c>
      <c r="L25" s="26" t="b">
        <v>1</v>
      </c>
      <c r="M25" s="26" t="b">
        <v>1</v>
      </c>
      <c r="N25" s="26" t="b">
        <v>1</v>
      </c>
      <c r="O25" s="26" t="b">
        <v>1</v>
      </c>
      <c r="P25" s="26" t="b">
        <v>1</v>
      </c>
      <c r="Q25" s="26" t="b">
        <v>1</v>
      </c>
      <c r="R25" s="32" t="b">
        <v>1</v>
      </c>
      <c r="T25" s="82" t="s">
        <v>8</v>
      </c>
      <c r="U25" s="26" t="b">
        <v>1</v>
      </c>
      <c r="V25" s="26" t="b">
        <v>1</v>
      </c>
      <c r="W25" s="32" t="b">
        <v>1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1</v>
      </c>
      <c r="D26" s="26" t="b">
        <v>1</v>
      </c>
      <c r="E26" s="27" t="b">
        <v>0</v>
      </c>
      <c r="F26" s="26" t="b">
        <v>1</v>
      </c>
      <c r="G26" s="26" t="b">
        <v>0</v>
      </c>
      <c r="H26" s="27" t="b">
        <v>0</v>
      </c>
      <c r="I26" s="32" t="b">
        <v>0</v>
      </c>
      <c r="J26" s="30"/>
      <c r="K26" s="81" t="str">
        <f t="shared" si="18"/>
        <v>Stretch/Yoga (&gt;20min)</v>
      </c>
      <c r="L26" s="26" t="b">
        <v>0</v>
      </c>
      <c r="M26" s="26" t="b">
        <v>1</v>
      </c>
      <c r="N26" s="26" t="b">
        <v>0</v>
      </c>
      <c r="O26" s="26" t="b">
        <v>1</v>
      </c>
      <c r="P26" s="26" t="b">
        <v>0</v>
      </c>
      <c r="Q26" s="26" t="b">
        <v>0</v>
      </c>
      <c r="R26" s="32" t="b">
        <v>1</v>
      </c>
      <c r="T26" s="82" t="s">
        <v>10</v>
      </c>
      <c r="U26" s="26" t="b">
        <v>1</v>
      </c>
      <c r="V26" s="26" t="b">
        <v>1</v>
      </c>
      <c r="W26" s="32" t="b">
        <v>0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6" t="b">
        <v>1</v>
      </c>
      <c r="H27" s="26" t="b">
        <v>1</v>
      </c>
      <c r="I27" s="32" t="b">
        <v>1</v>
      </c>
      <c r="J27" s="30"/>
      <c r="K27" s="81" t="str">
        <f t="shared" si="18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1</v>
      </c>
      <c r="R27" s="32" t="b">
        <v>1</v>
      </c>
      <c r="T27" s="82" t="s">
        <v>12</v>
      </c>
      <c r="U27" s="26" t="b">
        <v>1</v>
      </c>
      <c r="V27" s="26" t="b">
        <v>1</v>
      </c>
      <c r="W27" s="32" t="b">
        <v>0</v>
      </c>
      <c r="Y27" s="82" t="s">
        <v>28</v>
      </c>
      <c r="Z27" s="32" t="b">
        <v>0</v>
      </c>
      <c r="AF27" s="133"/>
      <c r="AG27" s="133"/>
    </row>
    <row r="28">
      <c r="A28" s="127"/>
      <c r="B28" s="82" t="str">
        <f t="shared" si="17"/>
        <v>Eat in</v>
      </c>
      <c r="C28" s="26" t="b">
        <v>1</v>
      </c>
      <c r="D28" s="26" t="b">
        <v>1</v>
      </c>
      <c r="E28" s="26" t="b">
        <v>1</v>
      </c>
      <c r="F28" s="26" t="b">
        <v>1</v>
      </c>
      <c r="G28" s="26" t="b">
        <v>0</v>
      </c>
      <c r="H28" s="26" t="b">
        <v>1</v>
      </c>
      <c r="I28" s="32" t="b">
        <v>1</v>
      </c>
      <c r="J28" s="30"/>
      <c r="K28" s="81" t="str">
        <f t="shared" si="18"/>
        <v>Eat in</v>
      </c>
      <c r="L28" s="26" t="b">
        <v>1</v>
      </c>
      <c r="M28" s="26" t="b">
        <v>1</v>
      </c>
      <c r="N28" s="26" t="b">
        <v>1</v>
      </c>
      <c r="O28" s="26" t="b">
        <v>1</v>
      </c>
      <c r="P28" s="26" t="b">
        <v>0</v>
      </c>
      <c r="Q28" s="26" t="b">
        <v>1</v>
      </c>
      <c r="R28" s="32" t="b">
        <v>1</v>
      </c>
      <c r="T28" s="82" t="s">
        <v>55</v>
      </c>
      <c r="U28" s="26" t="b">
        <v>1</v>
      </c>
      <c r="V28" s="26" t="b">
        <v>1</v>
      </c>
      <c r="W28" s="32" t="b">
        <v>1</v>
      </c>
      <c r="Y28" s="82" t="s">
        <v>47</v>
      </c>
      <c r="Z28" s="32" t="b">
        <v>0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1</v>
      </c>
      <c r="D29" s="26" t="b">
        <v>1</v>
      </c>
      <c r="E29" s="26" t="b">
        <v>1</v>
      </c>
      <c r="F29" s="26" t="b">
        <v>1</v>
      </c>
      <c r="G29" s="26" t="b">
        <v>1</v>
      </c>
      <c r="H29" s="26" t="b">
        <v>0</v>
      </c>
      <c r="I29" s="32" t="b">
        <v>1</v>
      </c>
      <c r="J29" s="30"/>
      <c r="K29" s="95" t="str">
        <f t="shared" si="18"/>
        <v>Review Budget/Goals</v>
      </c>
      <c r="L29" s="26" t="b">
        <v>1</v>
      </c>
      <c r="M29" s="26" t="b">
        <v>1</v>
      </c>
      <c r="N29" s="26" t="b">
        <v>1</v>
      </c>
      <c r="O29" s="26" t="b">
        <v>1</v>
      </c>
      <c r="P29" s="26" t="b">
        <v>1</v>
      </c>
      <c r="Q29" s="26" t="b">
        <v>1</v>
      </c>
      <c r="R29" s="32" t="b">
        <v>1</v>
      </c>
      <c r="T29" s="82" t="s">
        <v>16</v>
      </c>
      <c r="U29" s="26" t="b">
        <v>1</v>
      </c>
      <c r="V29" s="26" t="b">
        <v>1</v>
      </c>
      <c r="W29" s="32" t="b">
        <v>1</v>
      </c>
      <c r="Y29" s="82" t="s">
        <v>30</v>
      </c>
      <c r="Z29" s="32" t="b">
        <v>1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1</v>
      </c>
      <c r="D30" s="26" t="b">
        <v>1</v>
      </c>
      <c r="E30" s="26" t="b">
        <v>1</v>
      </c>
      <c r="F30" s="26" t="b">
        <v>1</v>
      </c>
      <c r="G30" s="27" t="b">
        <v>0</v>
      </c>
      <c r="H30" s="26" t="b">
        <v>0</v>
      </c>
      <c r="I30" s="32" t="b">
        <v>0</v>
      </c>
      <c r="J30" s="30"/>
      <c r="K30" s="81" t="str">
        <f t="shared" si="18"/>
        <v>(2x)Brush+(1x)Floss</v>
      </c>
      <c r="L30" s="26" t="b">
        <v>1</v>
      </c>
      <c r="M30" s="26" t="b">
        <v>1</v>
      </c>
      <c r="N30" s="26" t="b">
        <v>0</v>
      </c>
      <c r="O30" s="26" t="b">
        <v>1</v>
      </c>
      <c r="P30" s="26" t="b">
        <v>1</v>
      </c>
      <c r="Q30" s="26" t="b">
        <v>0</v>
      </c>
      <c r="R30" s="32" t="b">
        <v>1</v>
      </c>
      <c r="T30" s="82" t="s">
        <v>18</v>
      </c>
      <c r="U30" s="26" t="b">
        <v>1</v>
      </c>
      <c r="V30" s="26" t="b">
        <v>1</v>
      </c>
      <c r="W30" s="32" t="b">
        <v>1</v>
      </c>
      <c r="Y30" s="82" t="s">
        <v>32</v>
      </c>
      <c r="Z30" s="32" t="b">
        <v>1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0</v>
      </c>
      <c r="E31" s="26" t="b">
        <v>1</v>
      </c>
      <c r="F31" s="26" t="b">
        <v>1</v>
      </c>
      <c r="G31" s="26" t="b">
        <v>1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1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26" t="b">
        <v>1</v>
      </c>
      <c r="W31" s="32" t="b">
        <v>1</v>
      </c>
      <c r="Y31" s="85" t="s">
        <v>34</v>
      </c>
      <c r="Z31" s="32" t="b">
        <v>0</v>
      </c>
      <c r="AF31" s="145"/>
      <c r="AG31" s="145"/>
    </row>
    <row r="32">
      <c r="A32" s="127"/>
      <c r="B32" s="82" t="str">
        <f t="shared" si="17"/>
        <v>7 hours sleep</v>
      </c>
      <c r="C32" s="26" t="b">
        <v>1</v>
      </c>
      <c r="D32" s="26" t="b">
        <v>0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1</v>
      </c>
      <c r="J32" s="30"/>
      <c r="K32" s="81" t="str">
        <f t="shared" si="18"/>
        <v>7 hours sleep</v>
      </c>
      <c r="L32" s="26" t="b">
        <v>1</v>
      </c>
      <c r="M32" s="26" t="b">
        <v>1</v>
      </c>
      <c r="N32" s="26" t="b">
        <v>1</v>
      </c>
      <c r="O32" s="26" t="b">
        <v>1</v>
      </c>
      <c r="P32" s="26" t="b">
        <v>1</v>
      </c>
      <c r="Q32" s="26" t="b">
        <v>1</v>
      </c>
      <c r="R32" s="32" t="b">
        <v>1</v>
      </c>
      <c r="T32" s="82" t="s">
        <v>22</v>
      </c>
      <c r="U32" s="26" t="b">
        <v>1</v>
      </c>
      <c r="V32" s="26" t="b">
        <v>1</v>
      </c>
      <c r="W32" s="32" t="b">
        <v>1</v>
      </c>
      <c r="Y32" s="91" t="s">
        <v>27</v>
      </c>
      <c r="Z32" s="92">
        <f>COUNTIF(Z27:Z31,True)/COUNTA(Z27:Z31)</f>
        <v>0.4</v>
      </c>
      <c r="AF32" s="71"/>
      <c r="AG32" s="71"/>
    </row>
    <row r="33">
      <c r="A33" s="127"/>
      <c r="B33" s="82" t="str">
        <f t="shared" si="17"/>
        <v>Clean (~20 min)</v>
      </c>
      <c r="C33" s="26" t="b">
        <v>1</v>
      </c>
      <c r="D33" s="26" t="b">
        <v>1</v>
      </c>
      <c r="E33" s="26" t="b">
        <v>1</v>
      </c>
      <c r="F33" s="26" t="b">
        <v>1</v>
      </c>
      <c r="G33" s="26" t="b">
        <v>0</v>
      </c>
      <c r="H33" s="26" t="b">
        <v>1</v>
      </c>
      <c r="I33" s="32" t="b">
        <v>1</v>
      </c>
      <c r="J33" s="30"/>
      <c r="K33" s="81" t="str">
        <f t="shared" si="18"/>
        <v>Clean (~20 min)</v>
      </c>
      <c r="L33" s="26" t="b">
        <v>1</v>
      </c>
      <c r="M33" s="26" t="b">
        <v>0</v>
      </c>
      <c r="N33" s="26" t="b">
        <v>1</v>
      </c>
      <c r="O33" s="26" t="b">
        <v>0</v>
      </c>
      <c r="P33" s="26" t="b">
        <v>0</v>
      </c>
      <c r="Q33" s="26" t="b">
        <v>1</v>
      </c>
      <c r="R33" s="32" t="b">
        <v>1</v>
      </c>
      <c r="T33" s="85" t="s">
        <v>24</v>
      </c>
      <c r="U33" s="38" t="b">
        <v>0</v>
      </c>
      <c r="V33" s="38" t="b">
        <v>1</v>
      </c>
      <c r="W33" s="32" t="b">
        <v>0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1</v>
      </c>
      <c r="D34" s="26" t="b">
        <v>1</v>
      </c>
      <c r="E34" s="26" t="b">
        <v>1</v>
      </c>
      <c r="F34" s="26" t="b">
        <v>1</v>
      </c>
      <c r="G34" s="26" t="b">
        <v>0</v>
      </c>
      <c r="H34" s="26" t="b">
        <v>0</v>
      </c>
      <c r="I34" s="32" t="b">
        <v>0</v>
      </c>
      <c r="J34" s="30"/>
      <c r="K34" s="81" t="str">
        <f t="shared" si="18"/>
        <v>Read (~20 min)</v>
      </c>
      <c r="L34" s="26" t="b">
        <v>1</v>
      </c>
      <c r="M34" s="26" t="b">
        <v>1</v>
      </c>
      <c r="N34" s="26" t="b">
        <v>0</v>
      </c>
      <c r="O34" s="26" t="b">
        <v>1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W34" si="19">COUNTIF(U24:U33,True)/COUNTA(U24:U33)</f>
        <v>0.9</v>
      </c>
      <c r="V34" s="68">
        <f t="shared" si="19"/>
        <v>1</v>
      </c>
      <c r="W34" s="146">
        <f t="shared" si="19"/>
        <v>0.7</v>
      </c>
    </row>
    <row r="35">
      <c r="A35" s="133"/>
      <c r="B35" s="81" t="str">
        <f t="shared" si="17"/>
        <v>Vitamins</v>
      </c>
      <c r="C35" s="26" t="b">
        <v>1</v>
      </c>
      <c r="D35" s="26" t="b">
        <v>1</v>
      </c>
      <c r="E35" s="26" t="b">
        <v>1</v>
      </c>
      <c r="F35" s="26" t="b">
        <v>1</v>
      </c>
      <c r="G35" s="26" t="b">
        <v>1</v>
      </c>
      <c r="H35" s="26" t="b">
        <v>1</v>
      </c>
      <c r="I35" s="32" t="b">
        <v>1</v>
      </c>
      <c r="J35" s="30"/>
      <c r="K35" s="81" t="str">
        <f t="shared" si="18"/>
        <v>Vitamins</v>
      </c>
      <c r="L35" s="26" t="b">
        <v>1</v>
      </c>
      <c r="M35" s="26" t="b">
        <v>1</v>
      </c>
      <c r="N35" s="26" t="b">
        <v>1</v>
      </c>
      <c r="O35" s="26" t="b">
        <v>1</v>
      </c>
      <c r="P35" s="26" t="b">
        <v>1</v>
      </c>
      <c r="Q35" s="26" t="b">
        <v>0</v>
      </c>
      <c r="R35" s="32" t="b">
        <v>1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1</v>
      </c>
      <c r="D36" s="38" t="b">
        <v>1</v>
      </c>
      <c r="E36" s="38" t="b">
        <v>1</v>
      </c>
      <c r="F36" s="38" t="b">
        <v>1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1</v>
      </c>
      <c r="O36" s="26" t="b">
        <v>1</v>
      </c>
      <c r="P36" s="26" t="b">
        <v>1</v>
      </c>
      <c r="Q36" s="26" t="b">
        <v>0</v>
      </c>
      <c r="R36" s="32" t="b">
        <v>1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0.9166666667</v>
      </c>
      <c r="D37" s="44">
        <f t="shared" si="20"/>
        <v>0.8333333333</v>
      </c>
      <c r="E37" s="44">
        <f t="shared" si="20"/>
        <v>0.9166666667</v>
      </c>
      <c r="F37" s="44">
        <f t="shared" si="20"/>
        <v>1</v>
      </c>
      <c r="G37" s="44">
        <f t="shared" si="20"/>
        <v>0.5</v>
      </c>
      <c r="H37" s="44">
        <f t="shared" si="20"/>
        <v>0.5</v>
      </c>
      <c r="I37" s="45">
        <f t="shared" si="20"/>
        <v>0.5833333333</v>
      </c>
      <c r="J37" s="21"/>
      <c r="K37" s="134" t="s">
        <v>27</v>
      </c>
      <c r="L37" s="135">
        <f t="shared" ref="L37:R37" si="21">COUNTIF(L25:L36,True)/COUNTA(L25:L36)</f>
        <v>0.8333333333</v>
      </c>
      <c r="M37" s="135">
        <f t="shared" si="21"/>
        <v>0.75</v>
      </c>
      <c r="N37" s="135">
        <f t="shared" si="21"/>
        <v>0.6666666667</v>
      </c>
      <c r="O37" s="135">
        <f t="shared" si="21"/>
        <v>0.8333333333</v>
      </c>
      <c r="P37" s="135">
        <f t="shared" si="21"/>
        <v>0.5833333333</v>
      </c>
      <c r="Q37" s="135">
        <f t="shared" si="21"/>
        <v>0.5</v>
      </c>
      <c r="R37" s="92">
        <f t="shared" si="21"/>
        <v>0.8333333333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f>EDATE(March2024!B3,1)</f>
        <v>45383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March2024!AF8+1</f>
        <v>45383</v>
      </c>
      <c r="D5" s="98">
        <f t="shared" ref="D5:I5" si="1">C5+1</f>
        <v>45384</v>
      </c>
      <c r="E5" s="98">
        <f t="shared" si="1"/>
        <v>45385</v>
      </c>
      <c r="F5" s="98">
        <f t="shared" si="1"/>
        <v>45386</v>
      </c>
      <c r="G5" s="98">
        <f t="shared" si="1"/>
        <v>45387</v>
      </c>
      <c r="H5" s="98">
        <f t="shared" si="1"/>
        <v>45388</v>
      </c>
      <c r="I5" s="125">
        <f t="shared" si="1"/>
        <v>45389</v>
      </c>
      <c r="J5" s="17"/>
      <c r="K5" s="126" t="s">
        <v>2</v>
      </c>
      <c r="L5" s="98">
        <f>I5+1</f>
        <v>45390</v>
      </c>
      <c r="M5" s="98">
        <f t="shared" ref="M5:R5" si="2">L5+1</f>
        <v>45391</v>
      </c>
      <c r="N5" s="98">
        <f t="shared" si="2"/>
        <v>45392</v>
      </c>
      <c r="O5" s="98">
        <f t="shared" si="2"/>
        <v>45393</v>
      </c>
      <c r="P5" s="98">
        <f t="shared" si="2"/>
        <v>45394</v>
      </c>
      <c r="Q5" s="98">
        <f t="shared" si="2"/>
        <v>45395</v>
      </c>
      <c r="R5" s="125">
        <f t="shared" si="2"/>
        <v>45396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1</v>
      </c>
      <c r="F7" s="28" t="b">
        <v>0</v>
      </c>
      <c r="G7" s="26" t="b">
        <v>0</v>
      </c>
      <c r="H7" s="26" t="b">
        <v>1</v>
      </c>
      <c r="I7" s="32" t="b">
        <v>0</v>
      </c>
      <c r="J7" s="30"/>
      <c r="K7" s="81" t="str">
        <f t="shared" ref="K7:K18" si="5">B7</f>
        <v>Exercise</v>
      </c>
      <c r="L7" s="26" t="b">
        <v>1</v>
      </c>
      <c r="M7" s="26" t="b">
        <v>1</v>
      </c>
      <c r="N7" s="26" t="b">
        <v>1</v>
      </c>
      <c r="O7" s="26" t="b">
        <v>1</v>
      </c>
      <c r="P7" s="26" t="b">
        <v>1</v>
      </c>
      <c r="Q7" s="26" t="b">
        <v>1</v>
      </c>
      <c r="R7" s="32" t="b">
        <v>0</v>
      </c>
      <c r="X7" s="129">
        <f>(SUM(C19:I19)+3*SUM(U19:V19) + SUM(L19:R19) + SUM(C37:I37) + SUM(L37:R37) + 3*SUM(U34:V34) + 5*SUM(Y22))/45</f>
        <v>0.5477777778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244</v>
      </c>
    </row>
    <row r="9">
      <c r="A9" s="128"/>
      <c r="B9" s="79" t="s">
        <v>39</v>
      </c>
      <c r="C9" s="26" t="b">
        <v>0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0</v>
      </c>
      <c r="R9" s="32" t="b">
        <v>0</v>
      </c>
      <c r="T9" s="82" t="s">
        <v>6</v>
      </c>
      <c r="U9" s="26" t="b">
        <v>1</v>
      </c>
      <c r="V9" s="32" t="b">
        <v>1</v>
      </c>
      <c r="X9" s="131">
        <f>X8 + March2024!AB4</f>
        <v>1127</v>
      </c>
    </row>
    <row r="10">
      <c r="A10" s="128"/>
      <c r="B10" s="79" t="s">
        <v>11</v>
      </c>
      <c r="C10" s="26" t="b">
        <v>0</v>
      </c>
      <c r="D10" s="26" t="b">
        <v>1</v>
      </c>
      <c r="E10" s="26" t="b">
        <v>0</v>
      </c>
      <c r="F10" s="26" t="b">
        <v>0</v>
      </c>
      <c r="G10" s="26" t="b">
        <v>1</v>
      </c>
      <c r="H10" s="26" t="b">
        <v>0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0</v>
      </c>
      <c r="O10" s="26" t="b">
        <v>1</v>
      </c>
      <c r="P10" s="26" t="b">
        <v>1</v>
      </c>
      <c r="Q10" s="26" t="b">
        <v>1</v>
      </c>
      <c r="R10" s="32" t="b">
        <v>0</v>
      </c>
      <c r="T10" s="82" t="s">
        <v>8</v>
      </c>
      <c r="U10" s="26" t="b">
        <v>1</v>
      </c>
      <c r="V10" s="32" t="b">
        <v>0</v>
      </c>
    </row>
    <row r="11">
      <c r="A11" s="132"/>
      <c r="B11" s="95" t="s">
        <v>13</v>
      </c>
      <c r="C11" s="26" t="b">
        <v>1</v>
      </c>
      <c r="D11" s="26" t="b">
        <v>1</v>
      </c>
      <c r="E11" s="26" t="b">
        <v>1</v>
      </c>
      <c r="F11" s="26" t="b">
        <v>0</v>
      </c>
      <c r="G11" s="26" t="b">
        <v>0</v>
      </c>
      <c r="H11" s="26" t="b">
        <v>0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1</v>
      </c>
      <c r="O11" s="26" t="b">
        <v>1</v>
      </c>
      <c r="P11" s="26" t="b">
        <v>1</v>
      </c>
      <c r="Q11" s="26" t="b">
        <v>0</v>
      </c>
      <c r="R11" s="32" t="b">
        <v>1</v>
      </c>
      <c r="T11" s="82" t="s">
        <v>10</v>
      </c>
      <c r="U11" s="26" t="b">
        <v>1</v>
      </c>
      <c r="V11" s="32" t="b">
        <v>1</v>
      </c>
    </row>
    <row r="12">
      <c r="A12" s="127"/>
      <c r="B12" s="82" t="s">
        <v>37</v>
      </c>
      <c r="C12" s="26" t="b">
        <v>1</v>
      </c>
      <c r="D12" s="26" t="b">
        <v>1</v>
      </c>
      <c r="E12" s="26" t="b">
        <v>1</v>
      </c>
      <c r="F12" s="26" t="b">
        <v>1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0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1</v>
      </c>
      <c r="V13" s="32" t="b">
        <v>0</v>
      </c>
    </row>
    <row r="14">
      <c r="A14" s="128"/>
      <c r="B14" s="79" t="s">
        <v>19</v>
      </c>
      <c r="C14" s="26" t="b">
        <v>1</v>
      </c>
      <c r="D14" s="26" t="b">
        <v>1</v>
      </c>
      <c r="E14" s="26" t="b">
        <v>0</v>
      </c>
      <c r="F14" s="26" t="b">
        <v>0</v>
      </c>
      <c r="G14" s="26" t="b">
        <v>0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1</v>
      </c>
      <c r="P14" s="26" t="b">
        <v>1</v>
      </c>
      <c r="Q14" s="26" t="b">
        <v>1</v>
      </c>
      <c r="R14" s="32" t="b">
        <v>0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1</v>
      </c>
      <c r="D15" s="26" t="b">
        <v>1</v>
      </c>
      <c r="E15" s="26" t="b">
        <v>0</v>
      </c>
      <c r="F15" s="26" t="b">
        <v>0</v>
      </c>
      <c r="G15" s="26" t="b">
        <v>1</v>
      </c>
      <c r="H15" s="26" t="b">
        <v>0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0</v>
      </c>
      <c r="P15" s="26" t="b">
        <v>1</v>
      </c>
      <c r="Q15" s="26" t="b">
        <v>0</v>
      </c>
      <c r="R15" s="32" t="b">
        <v>0</v>
      </c>
      <c r="T15" s="82" t="s">
        <v>18</v>
      </c>
      <c r="U15" s="26" t="b">
        <v>1</v>
      </c>
      <c r="V15" s="32" t="b">
        <v>0</v>
      </c>
    </row>
    <row r="16">
      <c r="A16" s="128"/>
      <c r="B16" s="79" t="s">
        <v>23</v>
      </c>
      <c r="C16" s="26" t="b">
        <v>1</v>
      </c>
      <c r="D16" s="26" t="b">
        <v>1</v>
      </c>
      <c r="E16" s="26" t="b">
        <v>1</v>
      </c>
      <c r="F16" s="26" t="b">
        <v>0</v>
      </c>
      <c r="G16" s="26" t="b">
        <v>1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1</v>
      </c>
      <c r="M16" s="26" t="b">
        <v>0</v>
      </c>
      <c r="N16" s="26" t="b">
        <v>1</v>
      </c>
      <c r="O16" s="26" t="b">
        <v>1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0</v>
      </c>
      <c r="X16" s="40" t="s">
        <v>25</v>
      </c>
      <c r="Y16" s="41"/>
    </row>
    <row r="17">
      <c r="A17" s="133"/>
      <c r="B17" s="81" t="s">
        <v>26</v>
      </c>
      <c r="C17" s="26" t="b">
        <v>1</v>
      </c>
      <c r="D17" s="26" t="b">
        <v>1</v>
      </c>
      <c r="E17" s="26" t="b">
        <v>1</v>
      </c>
      <c r="F17" s="26" t="b">
        <v>0</v>
      </c>
      <c r="G17" s="26" t="b">
        <v>1</v>
      </c>
      <c r="H17" s="26" t="b">
        <v>0</v>
      </c>
      <c r="I17" s="32" t="b">
        <v>1</v>
      </c>
      <c r="J17" s="30"/>
      <c r="K17" s="81" t="str">
        <f t="shared" si="5"/>
        <v>Vitamins</v>
      </c>
      <c r="L17" s="26" t="b">
        <v>1</v>
      </c>
      <c r="M17" s="26" t="b">
        <v>1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0</v>
      </c>
      <c r="V17" s="32" t="b">
        <v>1</v>
      </c>
      <c r="X17" s="82" t="s">
        <v>28</v>
      </c>
      <c r="Y17" s="32" t="b">
        <v>1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1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1</v>
      </c>
    </row>
    <row r="19">
      <c r="A19" s="127"/>
      <c r="B19" s="88" t="s">
        <v>27</v>
      </c>
      <c r="C19" s="44">
        <f t="shared" ref="C19:I19" si="6">COUNTIF(C7:C18,True)/COUNTA(C7:C18)</f>
        <v>0.5</v>
      </c>
      <c r="D19" s="44">
        <f t="shared" si="6"/>
        <v>0.6666666667</v>
      </c>
      <c r="E19" s="44">
        <f t="shared" si="6"/>
        <v>0.5</v>
      </c>
      <c r="F19" s="44">
        <f t="shared" si="6"/>
        <v>0.1666666667</v>
      </c>
      <c r="G19" s="44">
        <f t="shared" si="6"/>
        <v>0.4166666667</v>
      </c>
      <c r="H19" s="44">
        <f t="shared" si="6"/>
        <v>0.1666666667</v>
      </c>
      <c r="I19" s="45">
        <f t="shared" si="6"/>
        <v>0.4166666667</v>
      </c>
      <c r="J19" s="21"/>
      <c r="K19" s="89" t="s">
        <v>27</v>
      </c>
      <c r="L19" s="44">
        <f t="shared" ref="L19:R19" si="7">COUNTIF(L7:L18,True)/COUNTA(L7:L18)</f>
        <v>0.8333333333</v>
      </c>
      <c r="M19" s="44">
        <f t="shared" si="7"/>
        <v>0.5</v>
      </c>
      <c r="N19" s="44">
        <f t="shared" si="7"/>
        <v>0.4166666667</v>
      </c>
      <c r="O19" s="44">
        <f t="shared" si="7"/>
        <v>0.5</v>
      </c>
      <c r="P19" s="44">
        <f t="shared" si="7"/>
        <v>0.5</v>
      </c>
      <c r="Q19" s="44">
        <f t="shared" si="7"/>
        <v>0.25</v>
      </c>
      <c r="R19" s="44">
        <f t="shared" si="7"/>
        <v>0.08333333333</v>
      </c>
      <c r="T19" s="88" t="s">
        <v>27</v>
      </c>
      <c r="U19" s="44">
        <f t="shared" ref="U19:V19" si="8">COUNTIF(U9:U18,True)/COUNTA(U9:U18)</f>
        <v>0.8</v>
      </c>
      <c r="V19" s="45">
        <f t="shared" si="8"/>
        <v>0.4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1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1</v>
      </c>
      <c r="Z22" s="56"/>
      <c r="AA22" s="56"/>
    </row>
    <row r="23">
      <c r="A23" s="127"/>
      <c r="B23" s="107" t="s">
        <v>35</v>
      </c>
      <c r="C23" s="97">
        <f>R5+1</f>
        <v>45397</v>
      </c>
      <c r="D23" s="108">
        <f t="shared" ref="D23:I23" si="9">C23+1</f>
        <v>45398</v>
      </c>
      <c r="E23" s="108">
        <f t="shared" si="9"/>
        <v>45399</v>
      </c>
      <c r="F23" s="108">
        <f t="shared" si="9"/>
        <v>45400</v>
      </c>
      <c r="G23" s="108">
        <f t="shared" si="9"/>
        <v>45401</v>
      </c>
      <c r="H23" s="108">
        <f t="shared" si="9"/>
        <v>45402</v>
      </c>
      <c r="I23" s="111">
        <f t="shared" si="9"/>
        <v>45403</v>
      </c>
      <c r="J23" s="52"/>
      <c r="K23" s="110" t="s">
        <v>36</v>
      </c>
      <c r="L23" s="108">
        <f>I23+1</f>
        <v>45404</v>
      </c>
      <c r="M23" s="108">
        <f t="shared" ref="M23:R23" si="10">L23+1</f>
        <v>45405</v>
      </c>
      <c r="N23" s="108">
        <f t="shared" si="10"/>
        <v>45406</v>
      </c>
      <c r="O23" s="108">
        <f t="shared" si="10"/>
        <v>45407</v>
      </c>
      <c r="P23" s="108">
        <f t="shared" si="10"/>
        <v>45408</v>
      </c>
      <c r="Q23" s="108">
        <f t="shared" si="10"/>
        <v>45409</v>
      </c>
      <c r="R23" s="111">
        <f t="shared" si="10"/>
        <v>45410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1</v>
      </c>
      <c r="E25" s="26" t="b">
        <v>1</v>
      </c>
      <c r="F25" s="28" t="b">
        <v>1</v>
      </c>
      <c r="G25" s="27" t="b">
        <v>0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1</v>
      </c>
      <c r="N25" s="26" t="b">
        <v>1</v>
      </c>
      <c r="O25" s="26" t="b">
        <v>1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1</v>
      </c>
      <c r="N26" s="26" t="b">
        <v>0</v>
      </c>
      <c r="O26" s="26" t="b">
        <v>0</v>
      </c>
      <c r="P26" s="26" t="b">
        <v>0</v>
      </c>
      <c r="Q26" s="26" t="b">
        <v>1</v>
      </c>
      <c r="R26" s="29" t="b">
        <v>0</v>
      </c>
      <c r="T26" s="82" t="s">
        <v>10</v>
      </c>
      <c r="U26" s="26" t="b">
        <v>1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0</v>
      </c>
      <c r="D27" s="26" t="b">
        <v>1</v>
      </c>
      <c r="E27" s="26" t="b">
        <v>0</v>
      </c>
      <c r="F27" s="28" t="b">
        <v>1</v>
      </c>
      <c r="G27" s="27" t="b">
        <v>0</v>
      </c>
      <c r="H27" s="26" t="b">
        <v>1</v>
      </c>
      <c r="I27" s="32" t="b">
        <v>1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1</v>
      </c>
      <c r="R27" s="32" t="b">
        <v>1</v>
      </c>
      <c r="T27" s="82" t="s">
        <v>12</v>
      </c>
      <c r="U27" s="26" t="b">
        <v>1</v>
      </c>
      <c r="V27" s="32" t="b">
        <v>1</v>
      </c>
    </row>
    <row r="28">
      <c r="A28" s="127"/>
      <c r="B28" s="82" t="str">
        <f t="shared" si="13"/>
        <v>Eat in</v>
      </c>
      <c r="C28" s="26" t="b">
        <v>0</v>
      </c>
      <c r="D28" s="26" t="b">
        <v>1</v>
      </c>
      <c r="E28" s="26" t="b">
        <v>1</v>
      </c>
      <c r="F28" s="26" t="b">
        <v>1</v>
      </c>
      <c r="G28" s="26" t="b">
        <v>0</v>
      </c>
      <c r="H28" s="26" t="b">
        <v>0</v>
      </c>
      <c r="I28" s="29" t="b">
        <v>0</v>
      </c>
      <c r="J28" s="30"/>
      <c r="K28" s="81" t="str">
        <f t="shared" si="14"/>
        <v>Eat in</v>
      </c>
      <c r="L28" s="26" t="b">
        <v>1</v>
      </c>
      <c r="M28" s="26" t="b">
        <v>0</v>
      </c>
      <c r="N28" s="26" t="b">
        <v>1</v>
      </c>
      <c r="O28" s="26" t="b">
        <v>1</v>
      </c>
      <c r="P28" s="26" t="b">
        <v>0</v>
      </c>
      <c r="Q28" s="26" t="b">
        <v>1</v>
      </c>
      <c r="R28" s="32" t="b">
        <v>1</v>
      </c>
      <c r="T28" s="82" t="s">
        <v>56</v>
      </c>
      <c r="U28" s="26" t="b">
        <v>1</v>
      </c>
      <c r="V28" s="32" t="b">
        <v>1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1</v>
      </c>
      <c r="E29" s="26" t="b">
        <v>1</v>
      </c>
      <c r="F29" s="27" t="b">
        <v>0</v>
      </c>
      <c r="G29" s="26" t="b">
        <v>1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1</v>
      </c>
      <c r="M29" s="26" t="b">
        <v>1</v>
      </c>
      <c r="N29" s="26" t="b">
        <v>1</v>
      </c>
      <c r="O29" s="26" t="b">
        <v>1</v>
      </c>
      <c r="P29" s="26" t="b">
        <v>0</v>
      </c>
      <c r="Q29" s="26" t="b">
        <v>0</v>
      </c>
      <c r="R29" s="32" t="b">
        <v>1</v>
      </c>
      <c r="T29" s="82" t="s">
        <v>16</v>
      </c>
      <c r="U29" s="26" t="b">
        <v>1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0</v>
      </c>
      <c r="D30" s="26" t="b">
        <v>0</v>
      </c>
      <c r="E30" s="26" t="b">
        <v>1</v>
      </c>
      <c r="F30" s="26" t="b">
        <v>0</v>
      </c>
      <c r="G30" s="27" t="b">
        <v>0</v>
      </c>
      <c r="H30" s="26" t="b">
        <v>0</v>
      </c>
      <c r="I30" s="32" t="b">
        <v>1</v>
      </c>
      <c r="J30" s="30"/>
      <c r="K30" s="81" t="str">
        <f t="shared" si="14"/>
        <v>(2x)Brush+(1x)Floss</v>
      </c>
      <c r="L30" s="26" t="b">
        <v>0</v>
      </c>
      <c r="M30" s="26" t="b">
        <v>1</v>
      </c>
      <c r="N30" s="26" t="b">
        <v>0</v>
      </c>
      <c r="O30" s="26" t="b">
        <v>0</v>
      </c>
      <c r="P30" s="26" t="b">
        <v>0</v>
      </c>
      <c r="Q30" s="26" t="b">
        <v>0</v>
      </c>
      <c r="R30" s="32" t="b">
        <v>1</v>
      </c>
      <c r="T30" s="82" t="s">
        <v>18</v>
      </c>
      <c r="U30" s="26" t="b">
        <v>1</v>
      </c>
      <c r="V30" s="32" t="b">
        <v>0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1</v>
      </c>
      <c r="J32" s="30"/>
      <c r="K32" s="81" t="str">
        <f t="shared" si="14"/>
        <v>7 hours sleep</v>
      </c>
      <c r="L32" s="26" t="b">
        <v>0</v>
      </c>
      <c r="M32" s="26" t="b">
        <v>1</v>
      </c>
      <c r="N32" s="26" t="b">
        <v>1</v>
      </c>
      <c r="O32" s="26" t="b">
        <v>1</v>
      </c>
      <c r="P32" s="26" t="b">
        <v>0</v>
      </c>
      <c r="Q32" s="26" t="b">
        <v>1</v>
      </c>
      <c r="R32" s="32" t="b">
        <v>0</v>
      </c>
      <c r="T32" s="82" t="s">
        <v>22</v>
      </c>
      <c r="U32" s="26" t="b">
        <v>0</v>
      </c>
      <c r="V32" s="32" t="b">
        <v>1</v>
      </c>
    </row>
    <row r="33">
      <c r="A33" s="127"/>
      <c r="B33" s="82" t="str">
        <f t="shared" si="13"/>
        <v>Clean (~20 min)</v>
      </c>
      <c r="C33" s="26" t="b">
        <v>0</v>
      </c>
      <c r="D33" s="26" t="b">
        <v>1</v>
      </c>
      <c r="E33" s="26" t="b">
        <v>0</v>
      </c>
      <c r="F33" s="27" t="b">
        <v>0</v>
      </c>
      <c r="G33" s="26" t="b">
        <v>0</v>
      </c>
      <c r="H33" s="26" t="b">
        <v>0</v>
      </c>
      <c r="I33" s="32" t="b">
        <v>1</v>
      </c>
      <c r="J33" s="30"/>
      <c r="K33" s="81" t="str">
        <f t="shared" si="14"/>
        <v>Clean (~20 min)</v>
      </c>
      <c r="L33" s="26" t="b">
        <v>1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1</v>
      </c>
      <c r="R33" s="32" t="b">
        <v>1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0</v>
      </c>
      <c r="D34" s="26" t="b">
        <v>0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0.8</v>
      </c>
      <c r="V34" s="69">
        <f t="shared" si="15"/>
        <v>0.8</v>
      </c>
    </row>
    <row r="35">
      <c r="A35" s="133"/>
      <c r="B35" s="81" t="str">
        <f t="shared" si="13"/>
        <v>Vitamins</v>
      </c>
      <c r="C35" s="26" t="b">
        <v>0</v>
      </c>
      <c r="D35" s="26" t="b">
        <v>1</v>
      </c>
      <c r="E35" s="27" t="b">
        <v>0</v>
      </c>
      <c r="F35" s="26" t="b">
        <v>1</v>
      </c>
      <c r="G35" s="26" t="b">
        <v>0</v>
      </c>
      <c r="H35" s="26" t="b">
        <v>0</v>
      </c>
      <c r="I35" s="32" t="b">
        <v>1</v>
      </c>
      <c r="J35" s="30"/>
      <c r="K35" s="81" t="str">
        <f t="shared" si="14"/>
        <v>Vitamins</v>
      </c>
      <c r="L35" s="26" t="b">
        <v>0</v>
      </c>
      <c r="M35" s="26" t="b">
        <v>1</v>
      </c>
      <c r="N35" s="26" t="b">
        <v>0</v>
      </c>
      <c r="O35" s="26" t="b">
        <v>0</v>
      </c>
      <c r="P35" s="26" t="b">
        <v>1</v>
      </c>
      <c r="Q35" s="26" t="b">
        <v>1</v>
      </c>
      <c r="R35" s="32" t="b">
        <v>1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1</v>
      </c>
      <c r="N36" s="26" t="b">
        <v>0</v>
      </c>
      <c r="O36" s="26" t="b">
        <v>0</v>
      </c>
      <c r="P36" s="26" t="b">
        <v>0</v>
      </c>
      <c r="Q36" s="26" t="b">
        <v>0</v>
      </c>
      <c r="R36" s="32" t="b">
        <v>1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0.08333333333</v>
      </c>
      <c r="D37" s="44">
        <f t="shared" si="16"/>
        <v>0.5833333333</v>
      </c>
      <c r="E37" s="44">
        <f t="shared" si="16"/>
        <v>0.4166666667</v>
      </c>
      <c r="F37" s="44">
        <f t="shared" si="16"/>
        <v>0.4166666667</v>
      </c>
      <c r="G37" s="44">
        <f t="shared" si="16"/>
        <v>0.1666666667</v>
      </c>
      <c r="H37" s="44">
        <f t="shared" si="16"/>
        <v>0.1666666667</v>
      </c>
      <c r="I37" s="45">
        <f t="shared" si="16"/>
        <v>0.4166666667</v>
      </c>
      <c r="J37" s="21"/>
      <c r="K37" s="89" t="s">
        <v>27</v>
      </c>
      <c r="L37" s="44">
        <f t="shared" ref="L37:R37" si="17">COUNTIF(L25:L36,True)/COUNTA(L25:L36)</f>
        <v>0.3333333333</v>
      </c>
      <c r="M37" s="44">
        <f t="shared" si="17"/>
        <v>0.6666666667</v>
      </c>
      <c r="N37" s="44">
        <f t="shared" si="17"/>
        <v>0.4166666667</v>
      </c>
      <c r="O37" s="44">
        <f t="shared" si="17"/>
        <v>0.4166666667</v>
      </c>
      <c r="P37" s="44">
        <f t="shared" si="17"/>
        <v>0.1666666667</v>
      </c>
      <c r="Q37" s="44">
        <f t="shared" si="17"/>
        <v>0.5</v>
      </c>
      <c r="R37" s="44">
        <f t="shared" si="17"/>
        <v>0.5833333333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0.5603030303</v>
      </c>
    </row>
    <row r="3">
      <c r="A3" s="120"/>
      <c r="B3" s="8">
        <v>45108.0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312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April2024!X9</f>
        <v>1439</v>
      </c>
    </row>
    <row r="5">
      <c r="A5" s="124"/>
      <c r="B5" s="96" t="s">
        <v>1</v>
      </c>
      <c r="C5" s="97">
        <f>April2024!R23+1</f>
        <v>45411</v>
      </c>
      <c r="D5" s="98">
        <f t="shared" ref="D5:I5" si="1">C5+1</f>
        <v>45412</v>
      </c>
      <c r="E5" s="98">
        <f t="shared" si="1"/>
        <v>45413</v>
      </c>
      <c r="F5" s="98">
        <f t="shared" si="1"/>
        <v>45414</v>
      </c>
      <c r="G5" s="98">
        <f t="shared" si="1"/>
        <v>45415</v>
      </c>
      <c r="H5" s="98">
        <f t="shared" si="1"/>
        <v>45416</v>
      </c>
      <c r="I5" s="125">
        <f t="shared" si="1"/>
        <v>45417</v>
      </c>
      <c r="J5" s="17"/>
      <c r="K5" s="126" t="s">
        <v>2</v>
      </c>
      <c r="L5" s="98">
        <f>I5+1</f>
        <v>45418</v>
      </c>
      <c r="M5" s="98">
        <f t="shared" ref="M5:R5" si="2">L5+1</f>
        <v>45419</v>
      </c>
      <c r="N5" s="98">
        <f t="shared" si="2"/>
        <v>45420</v>
      </c>
      <c r="O5" s="98">
        <f t="shared" si="2"/>
        <v>45421</v>
      </c>
      <c r="P5" s="98">
        <f t="shared" si="2"/>
        <v>45422</v>
      </c>
      <c r="Q5" s="98">
        <f t="shared" si="2"/>
        <v>45423</v>
      </c>
      <c r="R5" s="125">
        <f t="shared" si="2"/>
        <v>45424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1</v>
      </c>
      <c r="F7" s="28" t="b">
        <v>1</v>
      </c>
      <c r="G7" s="26" t="b">
        <v>0</v>
      </c>
      <c r="H7" s="26" t="b">
        <v>1</v>
      </c>
      <c r="I7" s="32" t="b">
        <v>1</v>
      </c>
      <c r="J7" s="30"/>
      <c r="K7" s="81" t="str">
        <f t="shared" ref="K7:K18" si="5">B7</f>
        <v>Exercise</v>
      </c>
      <c r="L7" s="26" t="b">
        <v>0</v>
      </c>
      <c r="M7" s="26" t="b">
        <v>1</v>
      </c>
      <c r="N7" s="26" t="b">
        <v>1</v>
      </c>
      <c r="O7" s="26" t="b">
        <v>1</v>
      </c>
      <c r="P7" s="26" t="b">
        <v>0</v>
      </c>
      <c r="Q7" s="26" t="b">
        <v>0</v>
      </c>
      <c r="R7" s="32" t="b"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1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45439</v>
      </c>
      <c r="AA8" s="108">
        <f t="shared" ref="AA8:AF8" si="6">Z8+1</f>
        <v>45440</v>
      </c>
      <c r="AB8" s="108">
        <f t="shared" si="6"/>
        <v>45441</v>
      </c>
      <c r="AC8" s="108">
        <f t="shared" si="6"/>
        <v>45442</v>
      </c>
      <c r="AD8" s="108">
        <f t="shared" si="6"/>
        <v>45443</v>
      </c>
      <c r="AE8" s="108">
        <f t="shared" si="6"/>
        <v>45444</v>
      </c>
      <c r="AF8" s="111">
        <f t="shared" si="6"/>
        <v>45445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0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0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1</v>
      </c>
      <c r="V9" s="32" t="b">
        <v>1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1</v>
      </c>
      <c r="D10" s="26" t="b">
        <v>0</v>
      </c>
      <c r="E10" s="26" t="b">
        <v>1</v>
      </c>
      <c r="F10" s="26" t="b">
        <v>0</v>
      </c>
      <c r="G10" s="26" t="b">
        <v>0</v>
      </c>
      <c r="H10" s="26" t="b">
        <v>0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0</v>
      </c>
      <c r="O10" s="26" t="b">
        <v>1</v>
      </c>
      <c r="P10" s="26" t="b">
        <v>1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0</v>
      </c>
      <c r="Y10" s="81" t="str">
        <f t="shared" ref="Y10:Y20" si="8">K7</f>
        <v>Exercise</v>
      </c>
      <c r="Z10" s="26" t="b">
        <v>0</v>
      </c>
      <c r="AA10" s="26" t="b">
        <v>1</v>
      </c>
      <c r="AB10" s="26" t="b">
        <v>1</v>
      </c>
      <c r="AC10" s="26" t="b">
        <v>0</v>
      </c>
      <c r="AD10" s="26" t="b">
        <v>0</v>
      </c>
      <c r="AE10" s="26" t="b">
        <v>0</v>
      </c>
      <c r="AF10" s="29" t="b">
        <v>0</v>
      </c>
      <c r="AG10" s="133"/>
    </row>
    <row r="11">
      <c r="A11" s="132"/>
      <c r="B11" s="95" t="s">
        <v>13</v>
      </c>
      <c r="C11" s="26" t="b">
        <v>1</v>
      </c>
      <c r="D11" s="26" t="b">
        <v>1</v>
      </c>
      <c r="E11" s="26" t="b">
        <v>1</v>
      </c>
      <c r="F11" s="26" t="b">
        <v>0</v>
      </c>
      <c r="G11" s="26" t="b">
        <v>1</v>
      </c>
      <c r="H11" s="26" t="b">
        <v>0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0</v>
      </c>
      <c r="N11" s="26" t="b">
        <v>0</v>
      </c>
      <c r="O11" s="26" t="b">
        <v>0</v>
      </c>
      <c r="P11" s="26" t="b">
        <v>1</v>
      </c>
      <c r="Q11" s="26" t="b">
        <v>0</v>
      </c>
      <c r="R11" s="32" t="b">
        <v>0</v>
      </c>
      <c r="T11" s="82" t="s">
        <v>10</v>
      </c>
      <c r="U11" s="26" t="b">
        <v>1</v>
      </c>
      <c r="V11" s="32" t="b">
        <v>0</v>
      </c>
      <c r="Y11" s="81" t="str">
        <f t="shared" si="8"/>
        <v>Stretch/Yoga (&gt;20min)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29" t="b">
        <v>0</v>
      </c>
      <c r="AG11" s="133"/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0</v>
      </c>
      <c r="Y12" s="81" t="str">
        <f t="shared" si="8"/>
        <v>Social Media (&lt;limit)</v>
      </c>
      <c r="Z12" s="26" t="b">
        <v>1</v>
      </c>
      <c r="AA12" s="26" t="b">
        <v>1</v>
      </c>
      <c r="AB12" s="26" t="b">
        <v>0</v>
      </c>
      <c r="AC12" s="26" t="b">
        <v>0</v>
      </c>
      <c r="AD12" s="26" t="b">
        <v>0</v>
      </c>
      <c r="AE12" s="26" t="b">
        <v>0</v>
      </c>
      <c r="AF12" s="32" t="b">
        <v>0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1</v>
      </c>
      <c r="V13" s="32" t="b">
        <v>1</v>
      </c>
      <c r="Y13" s="81" t="str">
        <f t="shared" si="8"/>
        <v>Eat in</v>
      </c>
      <c r="Z13" s="26" t="b">
        <v>1</v>
      </c>
      <c r="AA13" s="26" t="b">
        <v>0</v>
      </c>
      <c r="AB13" s="26" t="b">
        <v>0</v>
      </c>
      <c r="AC13" s="26" t="b">
        <v>0</v>
      </c>
      <c r="AD13" s="26" t="b">
        <v>0</v>
      </c>
      <c r="AE13" s="26" t="b">
        <v>0</v>
      </c>
      <c r="AF13" s="32" t="b">
        <v>0</v>
      </c>
      <c r="AG13" s="133"/>
    </row>
    <row r="14">
      <c r="A14" s="128"/>
      <c r="B14" s="79" t="s">
        <v>19</v>
      </c>
      <c r="C14" s="26" t="b">
        <v>1</v>
      </c>
      <c r="D14" s="26" t="b">
        <v>1</v>
      </c>
      <c r="E14" s="26" t="b">
        <v>0</v>
      </c>
      <c r="F14" s="26" t="b">
        <v>1</v>
      </c>
      <c r="G14" s="26" t="b">
        <v>1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0</v>
      </c>
      <c r="N14" s="26" t="b">
        <v>1</v>
      </c>
      <c r="O14" s="26" t="b">
        <v>1</v>
      </c>
      <c r="P14" s="26" t="b">
        <v>1</v>
      </c>
      <c r="Q14" s="26" t="b">
        <v>0</v>
      </c>
      <c r="R14" s="32" t="b">
        <v>0</v>
      </c>
      <c r="T14" s="82" t="s">
        <v>16</v>
      </c>
      <c r="U14" s="26" t="b">
        <v>1</v>
      </c>
      <c r="V14" s="32" t="b">
        <v>1</v>
      </c>
      <c r="Y14" s="95" t="str">
        <f t="shared" si="8"/>
        <v>Review Budget/Goals</v>
      </c>
      <c r="Z14" s="26" t="b">
        <v>1</v>
      </c>
      <c r="AA14" s="26" t="b">
        <v>1</v>
      </c>
      <c r="AB14" s="26" t="b">
        <v>0</v>
      </c>
      <c r="AC14" s="26" t="b">
        <v>1</v>
      </c>
      <c r="AD14" s="26" t="b">
        <v>0</v>
      </c>
      <c r="AE14" s="26" t="b">
        <v>0</v>
      </c>
      <c r="AF14" s="32" t="b">
        <v>0</v>
      </c>
      <c r="AG14" s="133"/>
    </row>
    <row r="15">
      <c r="A15" s="128"/>
      <c r="B15" s="79" t="s">
        <v>21</v>
      </c>
      <c r="C15" s="26" t="b">
        <v>1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1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0</v>
      </c>
      <c r="P15" s="26" t="b">
        <v>1</v>
      </c>
      <c r="Q15" s="26" t="b">
        <v>0</v>
      </c>
      <c r="R15" s="32" t="b">
        <v>0</v>
      </c>
      <c r="T15" s="82" t="s">
        <v>18</v>
      </c>
      <c r="U15" s="26" t="b">
        <v>1</v>
      </c>
      <c r="V15" s="32" t="b">
        <v>1</v>
      </c>
      <c r="Y15" s="81" t="str">
        <f t="shared" si="8"/>
        <v>(2x)Brush+(1x)Floss</v>
      </c>
      <c r="Z15" s="26" t="b">
        <v>1</v>
      </c>
      <c r="AA15" s="26" t="b">
        <v>1</v>
      </c>
      <c r="AB15" s="26" t="b">
        <v>0</v>
      </c>
      <c r="AC15" s="26" t="b">
        <v>0</v>
      </c>
      <c r="AD15" s="26" t="b">
        <v>0</v>
      </c>
      <c r="AE15" s="26" t="b">
        <v>0</v>
      </c>
      <c r="AF15" s="32" t="b">
        <v>0</v>
      </c>
      <c r="AG15" s="133"/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1</v>
      </c>
      <c r="N16" s="26" t="b">
        <v>1</v>
      </c>
      <c r="O16" s="26" t="b">
        <v>1</v>
      </c>
      <c r="P16" s="26" t="b">
        <v>1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0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1</v>
      </c>
      <c r="D17" s="26" t="b">
        <v>1</v>
      </c>
      <c r="E17" s="26" t="b">
        <v>0</v>
      </c>
      <c r="F17" s="26" t="b">
        <v>1</v>
      </c>
      <c r="G17" s="26" t="b">
        <v>0</v>
      </c>
      <c r="H17" s="26" t="b">
        <v>1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1</v>
      </c>
      <c r="P17" s="26" t="b">
        <v>1</v>
      </c>
      <c r="Q17" s="26" t="b">
        <v>0</v>
      </c>
      <c r="R17" s="32" t="b">
        <v>0</v>
      </c>
      <c r="T17" s="82" t="s">
        <v>22</v>
      </c>
      <c r="U17" s="26" t="b">
        <v>1</v>
      </c>
      <c r="V17" s="32" t="b">
        <v>1</v>
      </c>
      <c r="Y17" s="81" t="str">
        <f t="shared" si="8"/>
        <v>7 hours sleep</v>
      </c>
      <c r="Z17" s="26" t="b">
        <v>1</v>
      </c>
      <c r="AA17" s="26" t="b">
        <v>1</v>
      </c>
      <c r="AB17" s="26" t="b">
        <v>1</v>
      </c>
      <c r="AC17" s="26" t="b">
        <v>1</v>
      </c>
      <c r="AD17" s="26" t="b">
        <v>1</v>
      </c>
      <c r="AE17" s="26" t="b">
        <v>1</v>
      </c>
      <c r="AF17" s="32" t="b">
        <v>1</v>
      </c>
      <c r="AG17" s="133"/>
    </row>
    <row r="18">
      <c r="A18" s="133"/>
      <c r="B18" s="86" t="s">
        <v>46</v>
      </c>
      <c r="C18" s="38" t="b">
        <v>1</v>
      </c>
      <c r="D18" s="38" t="b">
        <v>1</v>
      </c>
      <c r="E18" s="38" t="b">
        <v>1</v>
      </c>
      <c r="F18" s="38" t="b">
        <v>1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1</v>
      </c>
      <c r="Y18" s="81" t="str">
        <f t="shared" si="8"/>
        <v>Clean (~20 min)</v>
      </c>
      <c r="Z18" s="26" t="b">
        <v>1</v>
      </c>
      <c r="AA18" s="26" t="b">
        <v>0</v>
      </c>
      <c r="AB18" s="26" t="b">
        <v>0</v>
      </c>
      <c r="AC18" s="26" t="b">
        <v>1</v>
      </c>
      <c r="AD18" s="26" t="b">
        <v>0</v>
      </c>
      <c r="AE18" s="26" t="b">
        <v>0</v>
      </c>
      <c r="AF18" s="32" t="b">
        <v>0</v>
      </c>
      <c r="AG18" s="133"/>
    </row>
    <row r="19">
      <c r="A19" s="127"/>
      <c r="B19" s="88" t="s">
        <v>27</v>
      </c>
      <c r="C19" s="44">
        <f t="shared" ref="C19:I19" si="9">COUNTIF(C7:C18,True)/COUNTA(C7:C18)</f>
        <v>0.6666666667</v>
      </c>
      <c r="D19" s="44">
        <f t="shared" si="9"/>
        <v>0.5</v>
      </c>
      <c r="E19" s="44">
        <f t="shared" si="9"/>
        <v>0.4166666667</v>
      </c>
      <c r="F19" s="44">
        <f t="shared" si="9"/>
        <v>0.4166666667</v>
      </c>
      <c r="G19" s="44">
        <f t="shared" si="9"/>
        <v>0.1666666667</v>
      </c>
      <c r="H19" s="44">
        <f t="shared" si="9"/>
        <v>0.4166666667</v>
      </c>
      <c r="I19" s="45">
        <f t="shared" si="9"/>
        <v>0.5</v>
      </c>
      <c r="J19" s="21"/>
      <c r="K19" s="134" t="s">
        <v>27</v>
      </c>
      <c r="L19" s="135">
        <f t="shared" ref="L19:R19" si="10">COUNTIF(L7:L18,True)/COUNTA(L7:L18)</f>
        <v>0.3333333333</v>
      </c>
      <c r="M19" s="135">
        <f t="shared" si="10"/>
        <v>0.25</v>
      </c>
      <c r="N19" s="135">
        <f t="shared" si="10"/>
        <v>0.25</v>
      </c>
      <c r="O19" s="135">
        <f t="shared" si="10"/>
        <v>0.4166666667</v>
      </c>
      <c r="P19" s="135">
        <f t="shared" si="10"/>
        <v>0.5833333333</v>
      </c>
      <c r="Q19" s="135">
        <f t="shared" si="10"/>
        <v>0</v>
      </c>
      <c r="R19" s="135">
        <f t="shared" si="10"/>
        <v>0</v>
      </c>
      <c r="T19" s="88" t="s">
        <v>27</v>
      </c>
      <c r="U19" s="44">
        <f t="shared" ref="U19:V19" si="11">COUNTIF(U9:U18,True)/COUNTA(U9:U18)</f>
        <v>0.9</v>
      </c>
      <c r="V19" s="45">
        <f t="shared" si="11"/>
        <v>0.6</v>
      </c>
      <c r="Y19" s="81" t="str">
        <f t="shared" si="8"/>
        <v>Read (~20 min)</v>
      </c>
      <c r="Z19" s="26" t="b">
        <v>1</v>
      </c>
      <c r="AA19" s="26" t="b">
        <v>1</v>
      </c>
      <c r="AB19" s="26" t="b">
        <v>1</v>
      </c>
      <c r="AC19" s="26" t="b">
        <v>1</v>
      </c>
      <c r="AD19" s="26" t="b">
        <v>1</v>
      </c>
      <c r="AE19" s="26" t="b">
        <v>1</v>
      </c>
      <c r="AF19" s="32" t="b">
        <v>1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1</v>
      </c>
      <c r="AA20" s="26" t="b">
        <v>1</v>
      </c>
      <c r="AB20" s="26" t="b">
        <v>0</v>
      </c>
      <c r="AC20" s="26" t="b">
        <v>1</v>
      </c>
      <c r="AD20" s="26" t="b">
        <v>0</v>
      </c>
      <c r="AE20" s="26" t="b">
        <v>0</v>
      </c>
      <c r="AF20" s="32" t="b">
        <v>0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COUNTIF(Z10:Z21,True)/COUNTA(Z10:Z21)</f>
        <v>0.6666666667</v>
      </c>
      <c r="AA22" s="135">
        <f t="shared" si="12"/>
        <v>0.5833333333</v>
      </c>
      <c r="AB22" s="135">
        <f t="shared" si="12"/>
        <v>0.25</v>
      </c>
      <c r="AC22" s="135">
        <f t="shared" si="12"/>
        <v>0.4166666667</v>
      </c>
      <c r="AD22" s="135">
        <f t="shared" si="12"/>
        <v>0.1666666667</v>
      </c>
      <c r="AE22" s="135">
        <f t="shared" si="12"/>
        <v>0.1666666667</v>
      </c>
      <c r="AF22" s="135">
        <f t="shared" si="12"/>
        <v>0.1666666667</v>
      </c>
      <c r="AG22" s="71"/>
    </row>
    <row r="23">
      <c r="A23" s="127"/>
      <c r="B23" s="139" t="s">
        <v>35</v>
      </c>
      <c r="C23" s="97">
        <f>R5+1</f>
        <v>45425</v>
      </c>
      <c r="D23" s="108">
        <f t="shared" ref="D23:I23" si="13">C23+1</f>
        <v>45426</v>
      </c>
      <c r="E23" s="108">
        <f t="shared" si="13"/>
        <v>45427</v>
      </c>
      <c r="F23" s="108">
        <f t="shared" si="13"/>
        <v>45428</v>
      </c>
      <c r="G23" s="108">
        <f t="shared" si="13"/>
        <v>45429</v>
      </c>
      <c r="H23" s="108">
        <f t="shared" si="13"/>
        <v>45430</v>
      </c>
      <c r="I23" s="111">
        <f t="shared" si="13"/>
        <v>45431</v>
      </c>
      <c r="J23" s="52"/>
      <c r="K23" s="110" t="s">
        <v>36</v>
      </c>
      <c r="L23" s="108">
        <f>I23+1</f>
        <v>45432</v>
      </c>
      <c r="M23" s="108">
        <f t="shared" ref="M23:R23" si="14">L23+1</f>
        <v>45433</v>
      </c>
      <c r="N23" s="108">
        <f t="shared" si="14"/>
        <v>45434</v>
      </c>
      <c r="O23" s="108">
        <f t="shared" si="14"/>
        <v>45435</v>
      </c>
      <c r="P23" s="108">
        <f t="shared" si="14"/>
        <v>45436</v>
      </c>
      <c r="Q23" s="108">
        <f t="shared" si="14"/>
        <v>45437</v>
      </c>
      <c r="R23" s="111">
        <f t="shared" si="14"/>
        <v>45438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1</v>
      </c>
      <c r="V24" s="26" t="b">
        <v>1</v>
      </c>
      <c r="W24" s="32" t="b">
        <v>1</v>
      </c>
      <c r="Y24" s="90" t="s">
        <v>48</v>
      </c>
      <c r="Z24" s="53" t="str">
        <f>IFERROR(__xludf.DUMMYFUNCTION("SPARKLINE((SUM(Z22:AF22)+3*W34)/10,{""charttype"",""bar"";""max"",1;""min"",0;""color1"",IF((SUM(Z22:AF22)+3*W34)/10&gt;0.7,""green"",IF((SUM(Z22:AF22)+3*W34)/10&gt;0.5,""yellow"",""red""))})"),"")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1</v>
      </c>
      <c r="D25" s="26" t="b">
        <v>0</v>
      </c>
      <c r="E25" s="26" t="b">
        <v>1</v>
      </c>
      <c r="F25" s="28" t="b">
        <v>0</v>
      </c>
      <c r="G25" s="27" t="b">
        <v>0</v>
      </c>
      <c r="H25" s="26" t="b">
        <v>0</v>
      </c>
      <c r="I25" s="32" t="b">
        <v>1</v>
      </c>
      <c r="J25" s="30"/>
      <c r="K25" s="81" t="str">
        <f t="shared" ref="K25:K35" si="18">B7</f>
        <v>Exercise</v>
      </c>
      <c r="L25" s="26" t="b">
        <v>1</v>
      </c>
      <c r="M25" s="26" t="b">
        <v>1</v>
      </c>
      <c r="N25" s="26" t="b">
        <v>1</v>
      </c>
      <c r="O25" s="26" t="b">
        <v>1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26" t="b">
        <v>1</v>
      </c>
      <c r="W25" s="32" t="b">
        <v>1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0</v>
      </c>
      <c r="E26" s="27" t="b">
        <v>0</v>
      </c>
      <c r="F26" s="26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8"/>
        <v>Stretch/Yoga (&gt;20min)</v>
      </c>
      <c r="L26" s="26" t="b">
        <v>1</v>
      </c>
      <c r="M26" s="26" t="b">
        <v>0</v>
      </c>
      <c r="N26" s="26" t="b">
        <v>0</v>
      </c>
      <c r="O26" s="26" t="b">
        <v>1</v>
      </c>
      <c r="P26" s="26" t="b">
        <v>1</v>
      </c>
      <c r="Q26" s="26" t="b">
        <v>0</v>
      </c>
      <c r="R26" s="29" t="b">
        <v>0</v>
      </c>
      <c r="T26" s="82" t="s">
        <v>10</v>
      </c>
      <c r="U26" s="26" t="b">
        <v>1</v>
      </c>
      <c r="V26" s="26" t="b">
        <v>0</v>
      </c>
      <c r="W26" s="32" t="b">
        <v>0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0</v>
      </c>
      <c r="D27" s="26" t="b">
        <v>0</v>
      </c>
      <c r="E27" s="26" t="b">
        <v>1</v>
      </c>
      <c r="F27" s="28" t="b">
        <v>1</v>
      </c>
      <c r="G27" s="26" t="b">
        <v>1</v>
      </c>
      <c r="H27" s="26" t="b">
        <v>1</v>
      </c>
      <c r="I27" s="32" t="b">
        <v>1</v>
      </c>
      <c r="J27" s="30"/>
      <c r="K27" s="81" t="str">
        <f t="shared" si="18"/>
        <v>Social Media (&lt;limit)</v>
      </c>
      <c r="L27" s="26" t="b">
        <v>1</v>
      </c>
      <c r="M27" s="26" t="b">
        <v>0</v>
      </c>
      <c r="N27" s="26" t="b">
        <v>1</v>
      </c>
      <c r="O27" s="26" t="b">
        <v>1</v>
      </c>
      <c r="P27" s="26" t="b">
        <v>0</v>
      </c>
      <c r="Q27" s="26" t="b">
        <v>1</v>
      </c>
      <c r="R27" s="32" t="b">
        <v>0</v>
      </c>
      <c r="T27" s="82" t="s">
        <v>12</v>
      </c>
      <c r="U27" s="26" t="b">
        <v>1</v>
      </c>
      <c r="V27" s="26" t="b">
        <v>0</v>
      </c>
      <c r="W27" s="32" t="b">
        <v>0</v>
      </c>
      <c r="Y27" s="82" t="s">
        <v>28</v>
      </c>
      <c r="Z27" s="32" t="b">
        <v>1</v>
      </c>
      <c r="AF27" s="133"/>
      <c r="AG27" s="133"/>
    </row>
    <row r="28">
      <c r="A28" s="127"/>
      <c r="B28" s="82" t="str">
        <f t="shared" si="17"/>
        <v>Eat in</v>
      </c>
      <c r="C28" s="26" t="b">
        <v>1</v>
      </c>
      <c r="D28" s="26" t="b">
        <v>0</v>
      </c>
      <c r="E28" s="26" t="b">
        <v>0</v>
      </c>
      <c r="F28" s="26" t="b">
        <v>1</v>
      </c>
      <c r="G28" s="26" t="b">
        <v>1</v>
      </c>
      <c r="H28" s="26" t="b">
        <v>1</v>
      </c>
      <c r="I28" s="32" t="b">
        <v>0</v>
      </c>
      <c r="J28" s="30"/>
      <c r="K28" s="81" t="str">
        <f t="shared" si="18"/>
        <v>Eat in</v>
      </c>
      <c r="L28" s="26" t="b">
        <v>0</v>
      </c>
      <c r="M28" s="26" t="b">
        <v>0</v>
      </c>
      <c r="N28" s="26" t="b">
        <v>1</v>
      </c>
      <c r="O28" s="26" t="b">
        <v>0</v>
      </c>
      <c r="P28" s="26" t="b">
        <v>0</v>
      </c>
      <c r="Q28" s="26" t="b">
        <v>1</v>
      </c>
      <c r="R28" s="32" t="b">
        <v>0</v>
      </c>
      <c r="T28" s="82" t="s">
        <v>56</v>
      </c>
      <c r="U28" s="26" t="b">
        <v>1</v>
      </c>
      <c r="V28" s="26" t="b">
        <v>1</v>
      </c>
      <c r="W28" s="32" t="b">
        <v>0</v>
      </c>
      <c r="Y28" s="82" t="s">
        <v>47</v>
      </c>
      <c r="Z28" s="32" t="b">
        <v>1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0</v>
      </c>
      <c r="D29" s="26" t="b">
        <v>0</v>
      </c>
      <c r="E29" s="26" t="b">
        <v>1</v>
      </c>
      <c r="F29" s="26" t="b">
        <v>0</v>
      </c>
      <c r="G29" s="26" t="b">
        <v>0</v>
      </c>
      <c r="H29" s="26" t="b">
        <v>1</v>
      </c>
      <c r="I29" s="32" t="b">
        <v>1</v>
      </c>
      <c r="J29" s="30"/>
      <c r="K29" s="95" t="str">
        <f t="shared" si="18"/>
        <v>Review Budget/Goals</v>
      </c>
      <c r="L29" s="26" t="b">
        <v>1</v>
      </c>
      <c r="M29" s="26" t="b">
        <v>1</v>
      </c>
      <c r="N29" s="26" t="b">
        <v>1</v>
      </c>
      <c r="O29" s="26" t="b">
        <v>1</v>
      </c>
      <c r="P29" s="26" t="b">
        <v>0</v>
      </c>
      <c r="Q29" s="26" t="b">
        <v>0</v>
      </c>
      <c r="R29" s="32" t="b">
        <v>1</v>
      </c>
      <c r="T29" s="82" t="s">
        <v>16</v>
      </c>
      <c r="U29" s="26" t="b">
        <v>1</v>
      </c>
      <c r="V29" s="26" t="b">
        <v>1</v>
      </c>
      <c r="W29" s="32" t="b">
        <v>1</v>
      </c>
      <c r="Y29" s="82" t="s">
        <v>30</v>
      </c>
      <c r="Z29" s="32" t="b">
        <v>1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0</v>
      </c>
      <c r="D30" s="26" t="b">
        <v>1</v>
      </c>
      <c r="E30" s="26" t="b">
        <v>0</v>
      </c>
      <c r="F30" s="26" t="b">
        <v>0</v>
      </c>
      <c r="G30" s="27" t="b">
        <v>0</v>
      </c>
      <c r="H30" s="26" t="b">
        <v>0</v>
      </c>
      <c r="I30" s="32" t="b">
        <v>1</v>
      </c>
      <c r="J30" s="30"/>
      <c r="K30" s="81" t="str">
        <f t="shared" si="18"/>
        <v>(2x)Brush+(1x)Floss</v>
      </c>
      <c r="L30" s="26" t="b">
        <v>1</v>
      </c>
      <c r="M30" s="26" t="b">
        <v>1</v>
      </c>
      <c r="N30" s="26" t="b">
        <v>1</v>
      </c>
      <c r="O30" s="26" t="b">
        <v>1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26" t="b">
        <v>1</v>
      </c>
      <c r="W30" s="32" t="b">
        <v>1</v>
      </c>
      <c r="Y30" s="82" t="s">
        <v>32</v>
      </c>
      <c r="Z30" s="32" t="b">
        <v>1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0</v>
      </c>
      <c r="E31" s="26" t="b">
        <v>0</v>
      </c>
      <c r="F31" s="26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26" t="b">
        <v>1</v>
      </c>
      <c r="W31" s="32" t="b">
        <v>1</v>
      </c>
      <c r="Y31" s="85" t="s">
        <v>34</v>
      </c>
      <c r="Z31" s="32" t="b">
        <v>1</v>
      </c>
      <c r="AF31" s="145"/>
      <c r="AG31" s="145"/>
    </row>
    <row r="32">
      <c r="A32" s="127"/>
      <c r="B32" s="82" t="str">
        <f t="shared" si="17"/>
        <v>7 hours sleep</v>
      </c>
      <c r="C32" s="26" t="b">
        <v>0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0</v>
      </c>
      <c r="J32" s="30"/>
      <c r="K32" s="81" t="str">
        <f t="shared" si="18"/>
        <v>7 hours sleep</v>
      </c>
      <c r="L32" s="26" t="b">
        <v>1</v>
      </c>
      <c r="M32" s="26" t="b">
        <v>1</v>
      </c>
      <c r="N32" s="26" t="b">
        <v>1</v>
      </c>
      <c r="O32" s="26" t="b">
        <v>1</v>
      </c>
      <c r="P32" s="26" t="b">
        <v>0</v>
      </c>
      <c r="Q32" s="26" t="b">
        <v>0</v>
      </c>
      <c r="R32" s="32" t="b">
        <v>1</v>
      </c>
      <c r="T32" s="82" t="s">
        <v>22</v>
      </c>
      <c r="U32" s="26" t="b">
        <v>1</v>
      </c>
      <c r="V32" s="26" t="b">
        <v>1</v>
      </c>
      <c r="W32" s="32" t="b">
        <v>1</v>
      </c>
      <c r="Y32" s="91" t="s">
        <v>27</v>
      </c>
      <c r="Z32" s="92">
        <f>COUNTIF(Z27:Z31,True)/COUNTA(Z27:Z31)</f>
        <v>1</v>
      </c>
      <c r="AF32" s="71"/>
      <c r="AG32" s="71"/>
    </row>
    <row r="33">
      <c r="A33" s="127"/>
      <c r="B33" s="82" t="str">
        <f t="shared" si="17"/>
        <v>Clean (~20 min)</v>
      </c>
      <c r="C33" s="26" t="b">
        <v>0</v>
      </c>
      <c r="D33" s="26" t="b">
        <v>1</v>
      </c>
      <c r="E33" s="26" t="b">
        <v>0</v>
      </c>
      <c r="F33" s="26" t="b">
        <v>0</v>
      </c>
      <c r="G33" s="26" t="b">
        <v>1</v>
      </c>
      <c r="H33" s="26" t="b">
        <v>1</v>
      </c>
      <c r="I33" s="32" t="b">
        <v>1</v>
      </c>
      <c r="J33" s="30"/>
      <c r="K33" s="81" t="str">
        <f t="shared" si="18"/>
        <v>Clean (~20 min)</v>
      </c>
      <c r="L33" s="26" t="b">
        <v>1</v>
      </c>
      <c r="M33" s="26" t="b">
        <v>1</v>
      </c>
      <c r="N33" s="26" t="b">
        <v>1</v>
      </c>
      <c r="O33" s="26" t="b">
        <v>1</v>
      </c>
      <c r="P33" s="26" t="b">
        <v>1</v>
      </c>
      <c r="Q33" s="26" t="b">
        <v>1</v>
      </c>
      <c r="R33" s="32" t="b">
        <v>1</v>
      </c>
      <c r="T33" s="85" t="s">
        <v>24</v>
      </c>
      <c r="U33" s="38" t="b">
        <v>1</v>
      </c>
      <c r="V33" s="38" t="b">
        <v>0</v>
      </c>
      <c r="W33" s="32" t="b">
        <v>0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1</v>
      </c>
      <c r="D34" s="26" t="b">
        <v>1</v>
      </c>
      <c r="E34" s="26" t="b">
        <v>1</v>
      </c>
      <c r="F34" s="26" t="b">
        <v>0</v>
      </c>
      <c r="G34" s="26" t="b">
        <v>0</v>
      </c>
      <c r="H34" s="26" t="b">
        <v>1</v>
      </c>
      <c r="I34" s="32" t="b">
        <v>1</v>
      </c>
      <c r="J34" s="30"/>
      <c r="K34" s="81" t="str">
        <f t="shared" si="18"/>
        <v>Read (~20 min)</v>
      </c>
      <c r="L34" s="26" t="b">
        <v>1</v>
      </c>
      <c r="M34" s="26" t="b">
        <v>1</v>
      </c>
      <c r="N34" s="26" t="b">
        <v>1</v>
      </c>
      <c r="O34" s="26" t="b">
        <v>1</v>
      </c>
      <c r="P34" s="26" t="b">
        <v>0</v>
      </c>
      <c r="Q34" s="26" t="b">
        <v>1</v>
      </c>
      <c r="R34" s="32" t="b">
        <v>0</v>
      </c>
      <c r="T34" s="88" t="s">
        <v>27</v>
      </c>
      <c r="U34" s="68">
        <f t="shared" ref="U34:W34" si="19">COUNTIF(U24:U33,True)/COUNTA(U24:U33)</f>
        <v>1</v>
      </c>
      <c r="V34" s="68">
        <f t="shared" si="19"/>
        <v>0.7</v>
      </c>
      <c r="W34" s="146">
        <f t="shared" si="19"/>
        <v>0.6</v>
      </c>
    </row>
    <row r="35">
      <c r="A35" s="133"/>
      <c r="B35" s="81" t="str">
        <f t="shared" si="17"/>
        <v>Vitamins</v>
      </c>
      <c r="C35" s="26" t="b">
        <v>1</v>
      </c>
      <c r="D35" s="26" t="b">
        <v>0</v>
      </c>
      <c r="E35" s="26" t="b">
        <v>1</v>
      </c>
      <c r="F35" s="26" t="b">
        <v>0</v>
      </c>
      <c r="G35" s="26" t="b">
        <v>1</v>
      </c>
      <c r="H35" s="26" t="b">
        <v>0</v>
      </c>
      <c r="I35" s="32" t="b">
        <v>1</v>
      </c>
      <c r="J35" s="30"/>
      <c r="K35" s="81" t="str">
        <f t="shared" si="18"/>
        <v>Vitamins</v>
      </c>
      <c r="L35" s="26" t="b">
        <v>1</v>
      </c>
      <c r="M35" s="26" t="b">
        <v>1</v>
      </c>
      <c r="N35" s="26" t="b">
        <v>1</v>
      </c>
      <c r="O35" s="26" t="b">
        <v>1</v>
      </c>
      <c r="P35" s="26" t="b">
        <v>1</v>
      </c>
      <c r="Q35" s="26" t="b">
        <v>1</v>
      </c>
      <c r="R35" s="32" t="b">
        <v>1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1</v>
      </c>
      <c r="M36" s="26" t="b">
        <v>1</v>
      </c>
      <c r="N36" s="26" t="b">
        <v>1</v>
      </c>
      <c r="O36" s="26" t="b">
        <v>1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0.3333333333</v>
      </c>
      <c r="D37" s="44">
        <f t="shared" si="20"/>
        <v>0.3333333333</v>
      </c>
      <c r="E37" s="44">
        <f t="shared" si="20"/>
        <v>0.5</v>
      </c>
      <c r="F37" s="44">
        <f t="shared" si="20"/>
        <v>0.25</v>
      </c>
      <c r="G37" s="44">
        <f t="shared" si="20"/>
        <v>0.4166666667</v>
      </c>
      <c r="H37" s="44">
        <f t="shared" si="20"/>
        <v>0.5</v>
      </c>
      <c r="I37" s="45">
        <f t="shared" si="20"/>
        <v>0.5833333333</v>
      </c>
      <c r="J37" s="21"/>
      <c r="K37" s="134" t="s">
        <v>27</v>
      </c>
      <c r="L37" s="135">
        <f t="shared" ref="L37:R37" si="21">COUNTIF(L25:L36,True)/COUNTA(L25:L36)</f>
        <v>0.8333333333</v>
      </c>
      <c r="M37" s="135">
        <f t="shared" si="21"/>
        <v>0.6666666667</v>
      </c>
      <c r="N37" s="135">
        <f t="shared" si="21"/>
        <v>0.8333333333</v>
      </c>
      <c r="O37" s="135">
        <f t="shared" si="21"/>
        <v>0.8333333333</v>
      </c>
      <c r="P37" s="135">
        <f t="shared" si="21"/>
        <v>0.25</v>
      </c>
      <c r="Q37" s="135">
        <f t="shared" si="21"/>
        <v>0.4166666667</v>
      </c>
      <c r="R37" s="135">
        <f t="shared" si="21"/>
        <v>0.3333333333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45444.0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'May2024'!AF8+1</f>
        <v>45446</v>
      </c>
      <c r="D5" s="98">
        <f t="shared" ref="D5:I5" si="1">C5+1</f>
        <v>45447</v>
      </c>
      <c r="E5" s="98">
        <f t="shared" si="1"/>
        <v>45448</v>
      </c>
      <c r="F5" s="98">
        <f t="shared" si="1"/>
        <v>45449</v>
      </c>
      <c r="G5" s="98">
        <f t="shared" si="1"/>
        <v>45450</v>
      </c>
      <c r="H5" s="98">
        <f t="shared" si="1"/>
        <v>45451</v>
      </c>
      <c r="I5" s="125">
        <f t="shared" si="1"/>
        <v>45452</v>
      </c>
      <c r="J5" s="17"/>
      <c r="K5" s="126" t="s">
        <v>2</v>
      </c>
      <c r="L5" s="98">
        <f>I5+1</f>
        <v>45453</v>
      </c>
      <c r="M5" s="98">
        <f t="shared" ref="M5:R5" si="2">L5+1</f>
        <v>45454</v>
      </c>
      <c r="N5" s="98">
        <f t="shared" si="2"/>
        <v>45455</v>
      </c>
      <c r="O5" s="98">
        <f t="shared" si="2"/>
        <v>45456</v>
      </c>
      <c r="P5" s="98">
        <f t="shared" si="2"/>
        <v>45457</v>
      </c>
      <c r="Q5" s="98">
        <f t="shared" si="2"/>
        <v>45458</v>
      </c>
      <c r="R5" s="125">
        <f t="shared" si="2"/>
        <v>45459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0</v>
      </c>
      <c r="F7" s="28" t="b">
        <v>1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1</v>
      </c>
      <c r="N7" s="26" t="b">
        <v>1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0.2685185185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1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119</v>
      </c>
    </row>
    <row r="9">
      <c r="A9" s="128"/>
      <c r="B9" s="79" t="s">
        <v>39</v>
      </c>
      <c r="C9" s="26" t="b">
        <v>0</v>
      </c>
      <c r="D9" s="26" t="b">
        <v>0</v>
      </c>
      <c r="E9" s="26" t="b">
        <v>0</v>
      </c>
      <c r="F9" s="28" t="b">
        <v>1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1</v>
      </c>
      <c r="V9" s="32" t="b">
        <v>1</v>
      </c>
      <c r="X9" s="131">
        <f>X8 + 'May2024'!AB4</f>
        <v>1558</v>
      </c>
    </row>
    <row r="10">
      <c r="A10" s="128"/>
      <c r="B10" s="79" t="s">
        <v>11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1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0</v>
      </c>
    </row>
    <row r="11">
      <c r="A11" s="132"/>
      <c r="B11" s="95" t="s">
        <v>13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1</v>
      </c>
      <c r="I11" s="32" t="b">
        <v>0</v>
      </c>
      <c r="J11" s="30"/>
      <c r="K11" s="81" t="str">
        <f t="shared" si="5"/>
        <v>Review Budget/Goals</v>
      </c>
      <c r="L11" s="26" t="b">
        <v>1</v>
      </c>
      <c r="M11" s="26" t="b">
        <v>0</v>
      </c>
      <c r="N11" s="26" t="b">
        <v>1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1</v>
      </c>
      <c r="V11" s="32" t="b">
        <v>0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1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0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1</v>
      </c>
      <c r="V13" s="32" t="b">
        <v>0</v>
      </c>
    </row>
    <row r="14">
      <c r="A14" s="128"/>
      <c r="B14" s="79" t="s">
        <v>19</v>
      </c>
      <c r="C14" s="26" t="b">
        <v>0</v>
      </c>
      <c r="D14" s="26" t="b">
        <v>1</v>
      </c>
      <c r="E14" s="26" t="b">
        <v>0</v>
      </c>
      <c r="F14" s="26" t="b">
        <v>1</v>
      </c>
      <c r="G14" s="26" t="b">
        <v>1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0</v>
      </c>
      <c r="O14" s="26" t="b">
        <v>1</v>
      </c>
      <c r="P14" s="26" t="b">
        <v>0</v>
      </c>
      <c r="Q14" s="26" t="b">
        <v>0</v>
      </c>
      <c r="R14" s="32" t="b">
        <v>0</v>
      </c>
      <c r="T14" s="82" t="s">
        <v>16</v>
      </c>
      <c r="U14" s="26" t="b">
        <v>1</v>
      </c>
      <c r="V14" s="32" t="b">
        <v>0</v>
      </c>
    </row>
    <row r="15">
      <c r="A15" s="128"/>
      <c r="B15" s="79" t="s">
        <v>21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1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1</v>
      </c>
      <c r="V15" s="32" t="b">
        <v>0</v>
      </c>
    </row>
    <row r="16">
      <c r="A16" s="128"/>
      <c r="B16" s="79" t="s">
        <v>23</v>
      </c>
      <c r="C16" s="26" t="b">
        <v>1</v>
      </c>
      <c r="D16" s="26" t="b">
        <v>1</v>
      </c>
      <c r="E16" s="26" t="b">
        <v>1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1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0</v>
      </c>
      <c r="X16" s="40" t="s">
        <v>25</v>
      </c>
      <c r="Y16" s="41"/>
    </row>
    <row r="17">
      <c r="A17" s="133"/>
      <c r="B17" s="81" t="s">
        <v>26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1</v>
      </c>
      <c r="H17" s="26" t="b">
        <v>1</v>
      </c>
      <c r="I17" s="32" t="b">
        <v>0</v>
      </c>
      <c r="J17" s="30"/>
      <c r="K17" s="81" t="str">
        <f t="shared" si="5"/>
        <v>Vitamins</v>
      </c>
      <c r="L17" s="26" t="b">
        <v>1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1</v>
      </c>
      <c r="V17" s="32" t="b">
        <v>0</v>
      </c>
      <c r="X17" s="82" t="s">
        <v>28</v>
      </c>
      <c r="Y17" s="32" t="b">
        <v>0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1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0.08333333333</v>
      </c>
      <c r="D19" s="44">
        <f t="shared" si="6"/>
        <v>0.1666666667</v>
      </c>
      <c r="E19" s="44">
        <f t="shared" si="6"/>
        <v>0.08333333333</v>
      </c>
      <c r="F19" s="44">
        <f t="shared" si="6"/>
        <v>0.3333333333</v>
      </c>
      <c r="G19" s="44">
        <f t="shared" si="6"/>
        <v>0.1666666667</v>
      </c>
      <c r="H19" s="44">
        <f t="shared" si="6"/>
        <v>0.3333333333</v>
      </c>
      <c r="I19" s="45">
        <f t="shared" si="6"/>
        <v>0.1666666667</v>
      </c>
      <c r="J19" s="21"/>
      <c r="K19" s="89" t="s">
        <v>27</v>
      </c>
      <c r="L19" s="44">
        <f t="shared" ref="L19:R19" si="7">COUNTIF(L7:L18,True)/COUNTA(L7:L18)</f>
        <v>0.75</v>
      </c>
      <c r="M19" s="44">
        <f t="shared" si="7"/>
        <v>0.25</v>
      </c>
      <c r="N19" s="44">
        <f t="shared" si="7"/>
        <v>0.25</v>
      </c>
      <c r="O19" s="44">
        <f t="shared" si="7"/>
        <v>0.08333333333</v>
      </c>
      <c r="P19" s="44">
        <f t="shared" si="7"/>
        <v>0</v>
      </c>
      <c r="Q19" s="44">
        <f t="shared" si="7"/>
        <v>0</v>
      </c>
      <c r="R19" s="44">
        <f t="shared" si="7"/>
        <v>0</v>
      </c>
      <c r="T19" s="88" t="s">
        <v>27</v>
      </c>
      <c r="U19" s="44">
        <f t="shared" ref="U19:V19" si="8">COUNTIF(U9:U18,True)/COUNTA(U9:U18)</f>
        <v>0.8</v>
      </c>
      <c r="V19" s="45">
        <f t="shared" si="8"/>
        <v>0.2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0.4</v>
      </c>
      <c r="Z22" s="56"/>
      <c r="AA22" s="56"/>
    </row>
    <row r="23">
      <c r="A23" s="127"/>
      <c r="B23" s="107" t="s">
        <v>35</v>
      </c>
      <c r="C23" s="97">
        <f>R5+1</f>
        <v>45460</v>
      </c>
      <c r="D23" s="108">
        <f t="shared" ref="D23:I23" si="9">C23+1</f>
        <v>45461</v>
      </c>
      <c r="E23" s="108">
        <f t="shared" si="9"/>
        <v>45462</v>
      </c>
      <c r="F23" s="108">
        <f t="shared" si="9"/>
        <v>45463</v>
      </c>
      <c r="G23" s="108">
        <f t="shared" si="9"/>
        <v>45464</v>
      </c>
      <c r="H23" s="108">
        <f t="shared" si="9"/>
        <v>45465</v>
      </c>
      <c r="I23" s="111">
        <f t="shared" si="9"/>
        <v>45466</v>
      </c>
      <c r="J23" s="52"/>
      <c r="K23" s="110" t="s">
        <v>36</v>
      </c>
      <c r="L23" s="108">
        <f>I23+1</f>
        <v>45467</v>
      </c>
      <c r="M23" s="108">
        <f t="shared" ref="M23:R23" si="10">L23+1</f>
        <v>45468</v>
      </c>
      <c r="N23" s="108">
        <f t="shared" si="10"/>
        <v>45469</v>
      </c>
      <c r="O23" s="108">
        <f t="shared" si="10"/>
        <v>45470</v>
      </c>
      <c r="P23" s="108">
        <f t="shared" si="10"/>
        <v>45471</v>
      </c>
      <c r="Q23" s="108">
        <f t="shared" si="10"/>
        <v>45472</v>
      </c>
      <c r="R23" s="111">
        <f t="shared" si="10"/>
        <v>45473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0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0</v>
      </c>
      <c r="E25" s="27" t="b">
        <v>0</v>
      </c>
      <c r="F25" s="28" t="b">
        <v>0</v>
      </c>
      <c r="G25" s="27" t="b">
        <v>0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1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0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0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0</v>
      </c>
      <c r="D27" s="26" t="b">
        <v>0</v>
      </c>
      <c r="E27" s="26" t="b">
        <v>0</v>
      </c>
      <c r="F27" s="28" t="b">
        <v>0</v>
      </c>
      <c r="G27" s="27" t="b">
        <v>0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0</v>
      </c>
      <c r="R27" s="29" t="b">
        <v>0</v>
      </c>
      <c r="T27" s="82" t="s">
        <v>12</v>
      </c>
      <c r="U27" s="26" t="b">
        <v>0</v>
      </c>
      <c r="V27" s="32" t="b">
        <v>0</v>
      </c>
    </row>
    <row r="28">
      <c r="A28" s="127"/>
      <c r="B28" s="82" t="str">
        <f t="shared" si="13"/>
        <v>Eat in</v>
      </c>
      <c r="C28" s="26" t="b">
        <v>0</v>
      </c>
      <c r="D28" s="26" t="b">
        <v>0</v>
      </c>
      <c r="E28" s="26" t="b">
        <v>0</v>
      </c>
      <c r="F28" s="27" t="b">
        <v>0</v>
      </c>
      <c r="G28" s="26" t="b">
        <v>0</v>
      </c>
      <c r="H28" s="26" t="b">
        <v>0</v>
      </c>
      <c r="I28" s="29" t="b">
        <v>0</v>
      </c>
      <c r="J28" s="30"/>
      <c r="K28" s="81" t="str">
        <f t="shared" si="14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1</v>
      </c>
      <c r="R28" s="32" t="b">
        <v>1</v>
      </c>
      <c r="T28" s="82" t="s">
        <v>56</v>
      </c>
      <c r="U28" s="26" t="b">
        <v>1</v>
      </c>
      <c r="V28" s="32" t="b">
        <v>1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0</v>
      </c>
      <c r="E29" s="26" t="b">
        <v>0</v>
      </c>
      <c r="F29" s="27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1</v>
      </c>
      <c r="R29" s="29" t="b">
        <v>0</v>
      </c>
      <c r="T29" s="82" t="s">
        <v>16</v>
      </c>
      <c r="U29" s="26" t="b">
        <v>1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0</v>
      </c>
      <c r="D30" s="26" t="b">
        <v>0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32" t="b">
        <v>1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1</v>
      </c>
      <c r="D32" s="26" t="b">
        <v>0</v>
      </c>
      <c r="E32" s="27" t="b">
        <v>0</v>
      </c>
      <c r="F32" s="27" t="b">
        <v>0</v>
      </c>
      <c r="G32" s="27" t="b">
        <v>0</v>
      </c>
      <c r="H32" s="26" t="b">
        <v>0</v>
      </c>
      <c r="I32" s="32" t="b">
        <v>1</v>
      </c>
      <c r="J32" s="30"/>
      <c r="K32" s="81" t="str">
        <f t="shared" si="14"/>
        <v>7 hours sleep</v>
      </c>
      <c r="L32" s="26" t="b">
        <v>0</v>
      </c>
      <c r="M32" s="26" t="b">
        <v>0</v>
      </c>
      <c r="N32" s="26" t="b">
        <v>0</v>
      </c>
      <c r="O32" s="26" t="b">
        <v>0</v>
      </c>
      <c r="P32" s="26" t="b">
        <v>0</v>
      </c>
      <c r="Q32" s="26" t="b">
        <v>1</v>
      </c>
      <c r="R32" s="29" t="b">
        <v>0</v>
      </c>
      <c r="T32" s="82" t="s">
        <v>22</v>
      </c>
      <c r="U32" s="26" t="b">
        <v>0</v>
      </c>
      <c r="V32" s="32" t="b">
        <v>0</v>
      </c>
    </row>
    <row r="33">
      <c r="A33" s="127"/>
      <c r="B33" s="82" t="str">
        <f t="shared" si="13"/>
        <v>Clean (~20 min)</v>
      </c>
      <c r="C33" s="26" t="b">
        <v>0</v>
      </c>
      <c r="D33" s="26" t="b">
        <v>0</v>
      </c>
      <c r="E33" s="26" t="b">
        <v>0</v>
      </c>
      <c r="F33" s="27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4"/>
        <v>Clean (~20 min)</v>
      </c>
      <c r="L33" s="26" t="b">
        <v>1</v>
      </c>
      <c r="M33" s="26" t="b">
        <v>0</v>
      </c>
      <c r="N33" s="26" t="b">
        <v>0</v>
      </c>
      <c r="O33" s="26" t="b">
        <v>0</v>
      </c>
      <c r="P33" s="26" t="b">
        <v>1</v>
      </c>
      <c r="Q33" s="26" t="b">
        <v>0</v>
      </c>
      <c r="R33" s="32" t="b">
        <v>1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0</v>
      </c>
      <c r="D34" s="26" t="b">
        <v>0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32" t="b">
        <v>1</v>
      </c>
      <c r="T34" s="88" t="s">
        <v>27</v>
      </c>
      <c r="U34" s="68">
        <f t="shared" ref="U34:V34" si="15">COUNTIF(U24:U33,True)/COUNTA(U24:U33)</f>
        <v>0.3</v>
      </c>
      <c r="V34" s="69">
        <f t="shared" si="15"/>
        <v>0.7</v>
      </c>
    </row>
    <row r="35">
      <c r="A35" s="133"/>
      <c r="B35" s="81" t="str">
        <f t="shared" si="13"/>
        <v>Vitamins</v>
      </c>
      <c r="C35" s="26" t="b">
        <v>0</v>
      </c>
      <c r="D35" s="26" t="b">
        <v>0</v>
      </c>
      <c r="E35" s="27" t="b">
        <v>0</v>
      </c>
      <c r="F35" s="27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4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32" t="b">
        <v>1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38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0.08333333333</v>
      </c>
      <c r="D37" s="44">
        <f t="shared" si="16"/>
        <v>0</v>
      </c>
      <c r="E37" s="44">
        <f t="shared" si="16"/>
        <v>0</v>
      </c>
      <c r="F37" s="44">
        <f t="shared" si="16"/>
        <v>0</v>
      </c>
      <c r="G37" s="44">
        <f t="shared" si="16"/>
        <v>0</v>
      </c>
      <c r="H37" s="44">
        <f t="shared" si="16"/>
        <v>0</v>
      </c>
      <c r="I37" s="45">
        <f t="shared" si="16"/>
        <v>0.08333333333</v>
      </c>
      <c r="J37" s="21"/>
      <c r="K37" s="89" t="s">
        <v>27</v>
      </c>
      <c r="L37" s="44">
        <f t="shared" ref="L37:R37" si="17">COUNTIF(L25:L36,True)/COUNTA(L25:L36)</f>
        <v>0.1666666667</v>
      </c>
      <c r="M37" s="44">
        <f t="shared" si="17"/>
        <v>0.1666666667</v>
      </c>
      <c r="N37" s="44">
        <f t="shared" si="17"/>
        <v>0.08333333333</v>
      </c>
      <c r="O37" s="44">
        <f t="shared" si="17"/>
        <v>0.08333333333</v>
      </c>
      <c r="P37" s="44">
        <f t="shared" si="17"/>
        <v>0.1666666667</v>
      </c>
      <c r="Q37" s="44">
        <f t="shared" si="17"/>
        <v>0.25</v>
      </c>
      <c r="R37" s="44">
        <f t="shared" si="17"/>
        <v>0.3333333333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0.5627272727</v>
      </c>
    </row>
    <row r="3">
      <c r="A3" s="120"/>
      <c r="B3" s="8">
        <v>45474.0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316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June2024!X9</f>
        <v>1874</v>
      </c>
    </row>
    <row r="5">
      <c r="A5" s="124"/>
      <c r="B5" s="96" t="s">
        <v>1</v>
      </c>
      <c r="C5" s="97">
        <f>June2024!R23+1</f>
        <v>45474</v>
      </c>
      <c r="D5" s="98">
        <f t="shared" ref="D5:I5" si="1">C5+1</f>
        <v>45475</v>
      </c>
      <c r="E5" s="98">
        <f t="shared" si="1"/>
        <v>45476</v>
      </c>
      <c r="F5" s="98">
        <f t="shared" si="1"/>
        <v>45477</v>
      </c>
      <c r="G5" s="98">
        <f t="shared" si="1"/>
        <v>45478</v>
      </c>
      <c r="H5" s="98">
        <f t="shared" si="1"/>
        <v>45479</v>
      </c>
      <c r="I5" s="125">
        <f t="shared" si="1"/>
        <v>45480</v>
      </c>
      <c r="J5" s="17"/>
      <c r="K5" s="126" t="s">
        <v>2</v>
      </c>
      <c r="L5" s="98">
        <f>I5+1</f>
        <v>45481</v>
      </c>
      <c r="M5" s="98">
        <f t="shared" ref="M5:R5" si="2">L5+1</f>
        <v>45482</v>
      </c>
      <c r="N5" s="98">
        <f t="shared" si="2"/>
        <v>45483</v>
      </c>
      <c r="O5" s="98">
        <f t="shared" si="2"/>
        <v>45484</v>
      </c>
      <c r="P5" s="98">
        <f t="shared" si="2"/>
        <v>45485</v>
      </c>
      <c r="Q5" s="98">
        <f t="shared" si="2"/>
        <v>45486</v>
      </c>
      <c r="R5" s="125">
        <f t="shared" si="2"/>
        <v>45487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1</v>
      </c>
      <c r="F7" s="28" t="b">
        <v>1</v>
      </c>
      <c r="G7" s="26" t="b">
        <v>1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1</v>
      </c>
      <c r="M7" s="26" t="b">
        <v>1</v>
      </c>
      <c r="N7" s="26" t="b">
        <v>1</v>
      </c>
      <c r="O7" s="26" t="b">
        <v>0</v>
      </c>
      <c r="P7" s="26" t="b">
        <v>0</v>
      </c>
      <c r="Q7" s="26" t="b">
        <v>1</v>
      </c>
      <c r="R7" s="32" t="b">
        <v>0</v>
      </c>
    </row>
    <row r="8">
      <c r="A8" s="128"/>
      <c r="B8" s="79" t="s">
        <v>7</v>
      </c>
      <c r="C8" s="26" t="b">
        <v>1</v>
      </c>
      <c r="D8" s="26" t="b">
        <v>1</v>
      </c>
      <c r="E8" s="26" t="b">
        <v>1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1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45502</v>
      </c>
      <c r="AA8" s="108">
        <f t="shared" ref="AA8:AF8" si="6">Z8+1</f>
        <v>45503</v>
      </c>
      <c r="AB8" s="108">
        <f t="shared" si="6"/>
        <v>45504</v>
      </c>
      <c r="AC8" s="108">
        <f t="shared" si="6"/>
        <v>45505</v>
      </c>
      <c r="AD8" s="108">
        <f t="shared" si="6"/>
        <v>45506</v>
      </c>
      <c r="AE8" s="108">
        <f t="shared" si="6"/>
        <v>45507</v>
      </c>
      <c r="AF8" s="111">
        <f t="shared" si="6"/>
        <v>45508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1</v>
      </c>
      <c r="I9" s="32" t="b">
        <v>0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0</v>
      </c>
      <c r="Q9" s="26" t="b">
        <v>0</v>
      </c>
      <c r="R9" s="32" t="b">
        <v>1</v>
      </c>
      <c r="T9" s="82" t="s">
        <v>6</v>
      </c>
      <c r="U9" s="26" t="b">
        <v>1</v>
      </c>
      <c r="V9" s="32" t="b">
        <v>1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1</v>
      </c>
      <c r="D10" s="26" t="b">
        <v>1</v>
      </c>
      <c r="E10" s="26" t="b">
        <v>1</v>
      </c>
      <c r="F10" s="26" t="b">
        <v>1</v>
      </c>
      <c r="G10" s="26" t="b">
        <v>0</v>
      </c>
      <c r="H10" s="26" t="b">
        <v>1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1</v>
      </c>
      <c r="T10" s="82" t="s">
        <v>8</v>
      </c>
      <c r="U10" s="26" t="b">
        <v>1</v>
      </c>
      <c r="V10" s="32" t="b">
        <v>1</v>
      </c>
      <c r="Y10" s="81" t="str">
        <f t="shared" ref="Y10:Y20" si="8">K7</f>
        <v>Exercise</v>
      </c>
      <c r="Z10" s="26" t="b">
        <v>1</v>
      </c>
      <c r="AA10" s="26" t="b">
        <v>1</v>
      </c>
      <c r="AB10" s="26" t="b">
        <v>0</v>
      </c>
      <c r="AC10" s="26" t="b">
        <v>1</v>
      </c>
      <c r="AD10" s="26" t="b">
        <v>1</v>
      </c>
      <c r="AE10" s="26" t="b">
        <v>0</v>
      </c>
      <c r="AF10" s="29" t="b">
        <v>0</v>
      </c>
      <c r="AG10" s="133"/>
    </row>
    <row r="11">
      <c r="A11" s="132"/>
      <c r="B11" s="95" t="s">
        <v>13</v>
      </c>
      <c r="C11" s="26" t="b">
        <v>1</v>
      </c>
      <c r="D11" s="26" t="b">
        <v>1</v>
      </c>
      <c r="E11" s="26" t="b">
        <v>1</v>
      </c>
      <c r="F11" s="26" t="b">
        <v>1</v>
      </c>
      <c r="G11" s="26" t="b">
        <v>0</v>
      </c>
      <c r="H11" s="26" t="b">
        <v>0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0</v>
      </c>
      <c r="N11" s="26" t="b">
        <v>1</v>
      </c>
      <c r="O11" s="26" t="b">
        <v>1</v>
      </c>
      <c r="P11" s="26" t="b">
        <v>1</v>
      </c>
      <c r="Q11" s="26" t="b">
        <v>1</v>
      </c>
      <c r="R11" s="32" t="b">
        <v>0</v>
      </c>
      <c r="T11" s="82" t="s">
        <v>10</v>
      </c>
      <c r="U11" s="26" t="b">
        <v>1</v>
      </c>
      <c r="V11" s="32" t="b">
        <v>1</v>
      </c>
      <c r="Y11" s="81" t="str">
        <f t="shared" si="8"/>
        <v>Stretch/Yoga (&gt;20min)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29" t="b">
        <v>0</v>
      </c>
      <c r="AG11" s="133"/>
    </row>
    <row r="12">
      <c r="A12" s="127"/>
      <c r="B12" s="82" t="s">
        <v>37</v>
      </c>
      <c r="C12" s="26" t="b">
        <v>0</v>
      </c>
      <c r="D12" s="26" t="b">
        <v>1</v>
      </c>
      <c r="E12" s="26" t="b">
        <v>1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1</v>
      </c>
      <c r="N12" s="26" t="b">
        <v>1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1</v>
      </c>
      <c r="Y12" s="81" t="str">
        <f t="shared" si="8"/>
        <v>Social Media (&lt;limit)</v>
      </c>
      <c r="Z12" s="26" t="b">
        <v>1</v>
      </c>
      <c r="AA12" s="26" t="b">
        <v>1</v>
      </c>
      <c r="AB12" s="26" t="b">
        <v>1</v>
      </c>
      <c r="AC12" s="26" t="b">
        <v>1</v>
      </c>
      <c r="AD12" s="26" t="b">
        <v>0</v>
      </c>
      <c r="AE12" s="26" t="b">
        <v>0</v>
      </c>
      <c r="AF12" s="32" t="b">
        <v>0</v>
      </c>
      <c r="AG12" s="133"/>
    </row>
    <row r="13">
      <c r="A13" s="128"/>
      <c r="B13" s="79" t="s">
        <v>49</v>
      </c>
      <c r="C13" s="26" t="b">
        <v>1</v>
      </c>
      <c r="D13" s="26" t="b">
        <v>1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1</v>
      </c>
      <c r="V13" s="32" t="b">
        <v>1</v>
      </c>
      <c r="Y13" s="81" t="str">
        <f t="shared" si="8"/>
        <v>Eat in</v>
      </c>
      <c r="Z13" s="26" t="b">
        <v>1</v>
      </c>
      <c r="AA13" s="26" t="b">
        <v>1</v>
      </c>
      <c r="AB13" s="26" t="b">
        <v>1</v>
      </c>
      <c r="AC13" s="26" t="b">
        <v>1</v>
      </c>
      <c r="AD13" s="26" t="b">
        <v>1</v>
      </c>
      <c r="AE13" s="26" t="b">
        <v>0</v>
      </c>
      <c r="AF13" s="32" t="b">
        <v>0</v>
      </c>
      <c r="AG13" s="133"/>
    </row>
    <row r="14">
      <c r="A14" s="128"/>
      <c r="B14" s="79" t="s">
        <v>19</v>
      </c>
      <c r="C14" s="26" t="b">
        <v>1</v>
      </c>
      <c r="D14" s="26" t="b">
        <v>1</v>
      </c>
      <c r="E14" s="26" t="b">
        <v>1</v>
      </c>
      <c r="F14" s="26" t="b">
        <v>1</v>
      </c>
      <c r="G14" s="26" t="b">
        <v>1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1</v>
      </c>
      <c r="M14" s="26" t="b">
        <v>0</v>
      </c>
      <c r="N14" s="26" t="b">
        <v>1</v>
      </c>
      <c r="O14" s="26" t="b">
        <v>1</v>
      </c>
      <c r="P14" s="26" t="b">
        <v>1</v>
      </c>
      <c r="Q14" s="26" t="b">
        <v>1</v>
      </c>
      <c r="R14" s="32" t="b">
        <v>1</v>
      </c>
      <c r="T14" s="82" t="s">
        <v>16</v>
      </c>
      <c r="U14" s="26" t="b">
        <v>1</v>
      </c>
      <c r="V14" s="32" t="b">
        <v>1</v>
      </c>
      <c r="Y14" s="95" t="str">
        <f t="shared" si="8"/>
        <v>Review Budget/Goals</v>
      </c>
      <c r="Z14" s="26" t="b">
        <v>1</v>
      </c>
      <c r="AA14" s="26" t="b">
        <v>0</v>
      </c>
      <c r="AB14" s="26" t="b">
        <v>0</v>
      </c>
      <c r="AC14" s="26" t="b">
        <v>0</v>
      </c>
      <c r="AD14" s="26" t="b">
        <v>0</v>
      </c>
      <c r="AE14" s="26" t="b">
        <v>1</v>
      </c>
      <c r="AF14" s="32" t="b">
        <v>0</v>
      </c>
      <c r="AG14" s="133"/>
    </row>
    <row r="15">
      <c r="A15" s="128"/>
      <c r="B15" s="79" t="s">
        <v>21</v>
      </c>
      <c r="C15" s="26" t="b">
        <v>1</v>
      </c>
      <c r="D15" s="26" t="b">
        <v>1</v>
      </c>
      <c r="E15" s="26" t="b">
        <v>0</v>
      </c>
      <c r="F15" s="26" t="b">
        <v>0</v>
      </c>
      <c r="G15" s="26" t="b">
        <v>1</v>
      </c>
      <c r="H15" s="26" t="b">
        <v>1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1</v>
      </c>
      <c r="P15" s="26" t="b">
        <v>1</v>
      </c>
      <c r="Q15" s="26" t="b">
        <v>0</v>
      </c>
      <c r="R15" s="32" t="b">
        <v>1</v>
      </c>
      <c r="T15" s="82" t="s">
        <v>18</v>
      </c>
      <c r="U15" s="26" t="b">
        <v>1</v>
      </c>
      <c r="V15" s="32" t="b">
        <v>1</v>
      </c>
      <c r="Y15" s="81" t="str">
        <f t="shared" si="8"/>
        <v>(2x)Brush+(1x)Floss</v>
      </c>
      <c r="Z15" s="26" t="b">
        <v>1</v>
      </c>
      <c r="AA15" s="26" t="b">
        <v>1</v>
      </c>
      <c r="AB15" s="26" t="b">
        <v>1</v>
      </c>
      <c r="AC15" s="26" t="b">
        <v>0</v>
      </c>
      <c r="AD15" s="26" t="b">
        <v>0</v>
      </c>
      <c r="AE15" s="26" t="b">
        <v>0</v>
      </c>
      <c r="AF15" s="32" t="b">
        <v>0</v>
      </c>
      <c r="AG15" s="133"/>
    </row>
    <row r="16">
      <c r="A16" s="128"/>
      <c r="B16" s="79" t="s">
        <v>23</v>
      </c>
      <c r="C16" s="26" t="b">
        <v>1</v>
      </c>
      <c r="D16" s="26" t="b">
        <v>1</v>
      </c>
      <c r="E16" s="26" t="b">
        <v>1</v>
      </c>
      <c r="F16" s="26" t="b">
        <v>0</v>
      </c>
      <c r="G16" s="26" t="b">
        <v>0</v>
      </c>
      <c r="H16" s="26" t="b">
        <v>0</v>
      </c>
      <c r="I16" s="32" t="b">
        <v>1</v>
      </c>
      <c r="J16" s="30"/>
      <c r="K16" s="81" t="str">
        <f t="shared" si="5"/>
        <v>Read (~20 min)</v>
      </c>
      <c r="L16" s="26" t="b">
        <v>0</v>
      </c>
      <c r="M16" s="26" t="b">
        <v>1</v>
      </c>
      <c r="N16" s="26" t="b">
        <v>0</v>
      </c>
      <c r="O16" s="26" t="b">
        <v>0</v>
      </c>
      <c r="P16" s="26" t="b">
        <v>0</v>
      </c>
      <c r="Q16" s="26" t="b">
        <v>1</v>
      </c>
      <c r="R16" s="32" t="b">
        <v>0</v>
      </c>
      <c r="T16" s="82" t="s">
        <v>20</v>
      </c>
      <c r="U16" s="26" t="b">
        <v>1</v>
      </c>
      <c r="V16" s="32" t="b">
        <v>1</v>
      </c>
      <c r="Y16" s="81" t="str">
        <f t="shared" si="8"/>
        <v>Water (3L)</v>
      </c>
      <c r="Z16" s="26" t="b">
        <v>1</v>
      </c>
      <c r="AA16" s="26" t="b">
        <v>0</v>
      </c>
      <c r="AB16" s="26" t="b">
        <v>1</v>
      </c>
      <c r="AC16" s="26" t="b">
        <v>1</v>
      </c>
      <c r="AD16" s="26" t="b">
        <v>1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1</v>
      </c>
      <c r="D17" s="26" t="b">
        <v>1</v>
      </c>
      <c r="E17" s="26" t="b">
        <v>1</v>
      </c>
      <c r="F17" s="26" t="b">
        <v>1</v>
      </c>
      <c r="G17" s="26" t="b">
        <v>0</v>
      </c>
      <c r="H17" s="26" t="b">
        <v>1</v>
      </c>
      <c r="I17" s="32" t="b">
        <v>0</v>
      </c>
      <c r="J17" s="30"/>
      <c r="K17" s="81" t="str">
        <f t="shared" si="5"/>
        <v>Vitamins</v>
      </c>
      <c r="L17" s="26" t="b">
        <v>1</v>
      </c>
      <c r="M17" s="26" t="b">
        <v>0</v>
      </c>
      <c r="N17" s="26" t="b">
        <v>1</v>
      </c>
      <c r="O17" s="26" t="b">
        <v>0</v>
      </c>
      <c r="P17" s="26" t="b">
        <v>0</v>
      </c>
      <c r="Q17" s="26" t="b">
        <v>0</v>
      </c>
      <c r="R17" s="32" t="b">
        <v>1</v>
      </c>
      <c r="T17" s="82" t="s">
        <v>22</v>
      </c>
      <c r="U17" s="26" t="b">
        <v>1</v>
      </c>
      <c r="V17" s="32" t="b">
        <v>1</v>
      </c>
      <c r="Y17" s="81" t="str">
        <f t="shared" si="8"/>
        <v>7 hours sleep</v>
      </c>
      <c r="Z17" s="26" t="b">
        <v>1</v>
      </c>
      <c r="AA17" s="26" t="b">
        <v>1</v>
      </c>
      <c r="AB17" s="26" t="b">
        <v>1</v>
      </c>
      <c r="AC17" s="26" t="b">
        <v>1</v>
      </c>
      <c r="AD17" s="26" t="b">
        <v>1</v>
      </c>
      <c r="AE17" s="26" t="b">
        <v>1</v>
      </c>
      <c r="AF17" s="32" t="b">
        <v>0</v>
      </c>
      <c r="AG17" s="133"/>
    </row>
    <row r="18">
      <c r="A18" s="133"/>
      <c r="B18" s="86" t="s">
        <v>46</v>
      </c>
      <c r="C18" s="38" t="b">
        <v>0</v>
      </c>
      <c r="D18" s="38" t="b">
        <v>1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Y18" s="81" t="str">
        <f t="shared" si="8"/>
        <v>Clean (~20 min)</v>
      </c>
      <c r="Z18" s="26" t="b">
        <v>1</v>
      </c>
      <c r="AA18" s="26" t="b">
        <v>0</v>
      </c>
      <c r="AB18" s="26" t="b">
        <v>0</v>
      </c>
      <c r="AC18" s="26" t="b">
        <v>0</v>
      </c>
      <c r="AD18" s="26" t="b">
        <v>0</v>
      </c>
      <c r="AE18" s="26" t="b">
        <v>1</v>
      </c>
      <c r="AF18" s="32" t="b">
        <v>0</v>
      </c>
      <c r="AG18" s="133"/>
    </row>
    <row r="19">
      <c r="A19" s="127"/>
      <c r="B19" s="88" t="s">
        <v>27</v>
      </c>
      <c r="C19" s="44">
        <f t="shared" ref="C19:I19" si="9">COUNTIF(C7:C18,True)/COUNTA(C7:C18)</f>
        <v>0.8333333333</v>
      </c>
      <c r="D19" s="44">
        <f t="shared" si="9"/>
        <v>1</v>
      </c>
      <c r="E19" s="44">
        <f t="shared" si="9"/>
        <v>0.75</v>
      </c>
      <c r="F19" s="44">
        <f t="shared" si="9"/>
        <v>0.5</v>
      </c>
      <c r="G19" s="44">
        <f t="shared" si="9"/>
        <v>0.3333333333</v>
      </c>
      <c r="H19" s="44">
        <f t="shared" si="9"/>
        <v>0.3333333333</v>
      </c>
      <c r="I19" s="45">
        <f t="shared" si="9"/>
        <v>0.3333333333</v>
      </c>
      <c r="J19" s="21"/>
      <c r="K19" s="134" t="s">
        <v>27</v>
      </c>
      <c r="L19" s="135">
        <f t="shared" ref="L19:R19" si="10">COUNTIF(L7:L18,True)/COUNTA(L7:L18)</f>
        <v>0.75</v>
      </c>
      <c r="M19" s="135">
        <f t="shared" si="10"/>
        <v>0.3333333333</v>
      </c>
      <c r="N19" s="135">
        <f t="shared" si="10"/>
        <v>0.5</v>
      </c>
      <c r="O19" s="135">
        <f t="shared" si="10"/>
        <v>0.3333333333</v>
      </c>
      <c r="P19" s="135">
        <f t="shared" si="10"/>
        <v>0.25</v>
      </c>
      <c r="Q19" s="135">
        <f t="shared" si="10"/>
        <v>0.3333333333</v>
      </c>
      <c r="R19" s="135">
        <f t="shared" si="10"/>
        <v>0.4166666667</v>
      </c>
      <c r="T19" s="88" t="s">
        <v>27</v>
      </c>
      <c r="U19" s="44">
        <f t="shared" ref="U19:V19" si="11">COUNTIF(U9:U18,True)/COUNTA(U9:U18)</f>
        <v>0.8</v>
      </c>
      <c r="V19" s="45">
        <f t="shared" si="11"/>
        <v>0.9</v>
      </c>
      <c r="Y19" s="81" t="str">
        <f t="shared" si="8"/>
        <v>Read (~20 min)</v>
      </c>
      <c r="Z19" s="26" t="b">
        <v>1</v>
      </c>
      <c r="AA19" s="26" t="b">
        <v>1</v>
      </c>
      <c r="AB19" s="26" t="b">
        <v>0</v>
      </c>
      <c r="AC19" s="26" t="b">
        <v>1</v>
      </c>
      <c r="AD19" s="26" t="b">
        <v>1</v>
      </c>
      <c r="AE19" s="26" t="b">
        <v>0</v>
      </c>
      <c r="AF19" s="29" t="b">
        <v>0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1</v>
      </c>
      <c r="AA20" s="26" t="b">
        <v>0</v>
      </c>
      <c r="AB20" s="26" t="b">
        <v>1</v>
      </c>
      <c r="AC20" s="26" t="b">
        <v>1</v>
      </c>
      <c r="AD20" s="26" t="b">
        <v>1</v>
      </c>
      <c r="AE20" s="26" t="b">
        <v>0</v>
      </c>
      <c r="AF20" s="32" t="b">
        <v>0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COUNTIF(Z10:Z21,True)/COUNTA(Z10:Z21)</f>
        <v>0.8333333333</v>
      </c>
      <c r="AA22" s="135">
        <f t="shared" si="12"/>
        <v>0.5</v>
      </c>
      <c r="AB22" s="135">
        <f t="shared" si="12"/>
        <v>0.5</v>
      </c>
      <c r="AC22" s="135">
        <f t="shared" si="12"/>
        <v>0.5833333333</v>
      </c>
      <c r="AD22" s="135">
        <f t="shared" si="12"/>
        <v>0.5</v>
      </c>
      <c r="AE22" s="135">
        <f t="shared" si="12"/>
        <v>0.25</v>
      </c>
      <c r="AF22" s="135">
        <f t="shared" si="12"/>
        <v>0</v>
      </c>
      <c r="AG22" s="71"/>
    </row>
    <row r="23">
      <c r="A23" s="127"/>
      <c r="B23" s="139" t="s">
        <v>35</v>
      </c>
      <c r="C23" s="97">
        <f>R5+1</f>
        <v>45488</v>
      </c>
      <c r="D23" s="108">
        <f t="shared" ref="D23:I23" si="13">C23+1</f>
        <v>45489</v>
      </c>
      <c r="E23" s="108">
        <f t="shared" si="13"/>
        <v>45490</v>
      </c>
      <c r="F23" s="108">
        <f t="shared" si="13"/>
        <v>45491</v>
      </c>
      <c r="G23" s="108">
        <f t="shared" si="13"/>
        <v>45492</v>
      </c>
      <c r="H23" s="108">
        <f t="shared" si="13"/>
        <v>45493</v>
      </c>
      <c r="I23" s="111">
        <f t="shared" si="13"/>
        <v>45494</v>
      </c>
      <c r="J23" s="52"/>
      <c r="K23" s="110" t="s">
        <v>36</v>
      </c>
      <c r="L23" s="108">
        <f>I23+1</f>
        <v>45495</v>
      </c>
      <c r="M23" s="108">
        <f t="shared" ref="M23:R23" si="14">L23+1</f>
        <v>45496</v>
      </c>
      <c r="N23" s="108">
        <f t="shared" si="14"/>
        <v>45497</v>
      </c>
      <c r="O23" s="108">
        <f t="shared" si="14"/>
        <v>45498</v>
      </c>
      <c r="P23" s="108">
        <f t="shared" si="14"/>
        <v>45499</v>
      </c>
      <c r="Q23" s="108">
        <f t="shared" si="14"/>
        <v>45500</v>
      </c>
      <c r="R23" s="111">
        <f t="shared" si="14"/>
        <v>45501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1</v>
      </c>
      <c r="V24" s="26" t="b">
        <v>1</v>
      </c>
      <c r="W24" s="32" t="b">
        <v>0</v>
      </c>
      <c r="Y24" s="90" t="s">
        <v>48</v>
      </c>
      <c r="Z24" s="53" t="str">
        <f>IFERROR(__xludf.DUMMYFUNCTION("SPARKLINE((SUM(Z22:AF22)+3*W34)/10,{""charttype"",""bar"";""max"",1;""min"",0;""color1"",IF((SUM(Z22:AF22)+3*W34)/10&gt;0.7,""green"",IF((SUM(Z22:AF22)+3*W34)/10&gt;0.5,""yellow"",""red""))})"),"")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1</v>
      </c>
      <c r="D25" s="26" t="b">
        <v>1</v>
      </c>
      <c r="E25" s="26" t="b">
        <v>1</v>
      </c>
      <c r="F25" s="28" t="b">
        <v>1</v>
      </c>
      <c r="G25" s="27" t="b">
        <v>0</v>
      </c>
      <c r="H25" s="26" t="b">
        <v>1</v>
      </c>
      <c r="I25" s="29" t="b">
        <v>0</v>
      </c>
      <c r="J25" s="30"/>
      <c r="K25" s="81" t="str">
        <f t="shared" ref="K25:K35" si="18">B7</f>
        <v>Exercise</v>
      </c>
      <c r="L25" s="26" t="b">
        <v>1</v>
      </c>
      <c r="M25" s="26" t="b">
        <v>1</v>
      </c>
      <c r="N25" s="26" t="b">
        <v>0</v>
      </c>
      <c r="O25" s="26" t="b">
        <v>1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26" t="b">
        <v>0</v>
      </c>
      <c r="W25" s="32" t="b">
        <v>0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1</v>
      </c>
      <c r="E26" s="27" t="b">
        <v>0</v>
      </c>
      <c r="F26" s="26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8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26" t="b">
        <v>1</v>
      </c>
      <c r="W26" s="32" t="b">
        <v>0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6" t="b">
        <v>0</v>
      </c>
      <c r="H27" s="26" t="b">
        <v>1</v>
      </c>
      <c r="I27" s="32" t="b">
        <v>1</v>
      </c>
      <c r="J27" s="30"/>
      <c r="K27" s="81" t="str">
        <f t="shared" si="18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0</v>
      </c>
      <c r="Q27" s="26" t="b">
        <v>0</v>
      </c>
      <c r="R27" s="32" t="b">
        <v>0</v>
      </c>
      <c r="T27" s="82" t="s">
        <v>12</v>
      </c>
      <c r="U27" s="26" t="b">
        <v>1</v>
      </c>
      <c r="V27" s="26" t="b">
        <v>0</v>
      </c>
      <c r="W27" s="32" t="b">
        <v>0</v>
      </c>
      <c r="Y27" s="82" t="s">
        <v>28</v>
      </c>
      <c r="Z27" s="32" t="b">
        <v>1</v>
      </c>
      <c r="AF27" s="133"/>
      <c r="AG27" s="133"/>
    </row>
    <row r="28">
      <c r="A28" s="127"/>
      <c r="B28" s="82" t="str">
        <f t="shared" si="17"/>
        <v>Eat in</v>
      </c>
      <c r="C28" s="26" t="b">
        <v>1</v>
      </c>
      <c r="D28" s="26" t="b">
        <v>1</v>
      </c>
      <c r="E28" s="26" t="b">
        <v>0</v>
      </c>
      <c r="F28" s="26" t="b">
        <v>1</v>
      </c>
      <c r="G28" s="26" t="b">
        <v>1</v>
      </c>
      <c r="H28" s="26" t="b">
        <v>0</v>
      </c>
      <c r="I28" s="32" t="b">
        <v>1</v>
      </c>
      <c r="J28" s="30"/>
      <c r="K28" s="81" t="str">
        <f t="shared" si="18"/>
        <v>Eat in</v>
      </c>
      <c r="L28" s="26" t="b">
        <v>0</v>
      </c>
      <c r="M28" s="26" t="b">
        <v>1</v>
      </c>
      <c r="N28" s="26" t="b">
        <v>1</v>
      </c>
      <c r="O28" s="26" t="b">
        <v>1</v>
      </c>
      <c r="P28" s="26" t="b">
        <v>0</v>
      </c>
      <c r="Q28" s="26" t="b">
        <v>0</v>
      </c>
      <c r="R28" s="32" t="b">
        <v>0</v>
      </c>
      <c r="T28" s="82" t="s">
        <v>56</v>
      </c>
      <c r="U28" s="26" t="b">
        <v>1</v>
      </c>
      <c r="V28" s="26" t="b">
        <v>1</v>
      </c>
      <c r="W28" s="32" t="b">
        <v>0</v>
      </c>
      <c r="Y28" s="82" t="s">
        <v>47</v>
      </c>
      <c r="Z28" s="32" t="b">
        <v>1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1</v>
      </c>
      <c r="D29" s="26" t="b">
        <v>1</v>
      </c>
      <c r="E29" s="26" t="b">
        <v>1</v>
      </c>
      <c r="F29" s="26" t="b">
        <v>1</v>
      </c>
      <c r="G29" s="26" t="b">
        <v>0</v>
      </c>
      <c r="H29" s="26" t="b">
        <v>1</v>
      </c>
      <c r="I29" s="32" t="b">
        <v>0</v>
      </c>
      <c r="J29" s="30"/>
      <c r="K29" s="95" t="str">
        <f t="shared" si="18"/>
        <v>Review Budget/Goals</v>
      </c>
      <c r="L29" s="26" t="b">
        <v>1</v>
      </c>
      <c r="M29" s="26" t="b">
        <v>0</v>
      </c>
      <c r="N29" s="26" t="b">
        <v>0</v>
      </c>
      <c r="O29" s="26" t="b">
        <v>1</v>
      </c>
      <c r="P29" s="26" t="b">
        <v>0</v>
      </c>
      <c r="Q29" s="26" t="b">
        <v>0</v>
      </c>
      <c r="R29" s="32" t="b">
        <v>0</v>
      </c>
      <c r="T29" s="82" t="s">
        <v>16</v>
      </c>
      <c r="U29" s="26" t="b">
        <v>1</v>
      </c>
      <c r="V29" s="26" t="b">
        <v>1</v>
      </c>
      <c r="W29" s="32" t="b">
        <v>0</v>
      </c>
      <c r="Y29" s="82" t="s">
        <v>30</v>
      </c>
      <c r="Z29" s="32" t="b">
        <v>1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0</v>
      </c>
      <c r="D30" s="26" t="b">
        <v>1</v>
      </c>
      <c r="E30" s="26" t="b">
        <v>1</v>
      </c>
      <c r="F30" s="26" t="b">
        <v>0</v>
      </c>
      <c r="G30" s="27" t="b">
        <v>0</v>
      </c>
      <c r="H30" s="26" t="b">
        <v>0</v>
      </c>
      <c r="I30" s="32" t="b">
        <v>1</v>
      </c>
      <c r="J30" s="30"/>
      <c r="K30" s="81" t="str">
        <f t="shared" si="18"/>
        <v>(2x)Brush+(1x)Floss</v>
      </c>
      <c r="L30" s="26" t="b">
        <v>0</v>
      </c>
      <c r="M30" s="26" t="b">
        <v>1</v>
      </c>
      <c r="N30" s="26" t="b">
        <v>1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26" t="b">
        <v>1</v>
      </c>
      <c r="W30" s="32" t="b">
        <v>0</v>
      </c>
      <c r="Y30" s="82" t="s">
        <v>32</v>
      </c>
      <c r="Z30" s="32" t="b">
        <v>1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1</v>
      </c>
      <c r="E31" s="26" t="b">
        <v>0</v>
      </c>
      <c r="F31" s="26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0</v>
      </c>
      <c r="M31" s="26" t="b">
        <v>0</v>
      </c>
      <c r="N31" s="26" t="b">
        <v>0</v>
      </c>
      <c r="O31" s="26" t="b">
        <v>1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26" t="b">
        <v>1</v>
      </c>
      <c r="W31" s="32" t="b">
        <v>0</v>
      </c>
      <c r="Y31" s="85" t="s">
        <v>34</v>
      </c>
      <c r="Z31" s="32" t="b">
        <v>1</v>
      </c>
      <c r="AF31" s="145"/>
      <c r="AG31" s="145"/>
    </row>
    <row r="32">
      <c r="A32" s="127"/>
      <c r="B32" s="82" t="str">
        <f t="shared" si="17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0</v>
      </c>
      <c r="J32" s="30"/>
      <c r="K32" s="81" t="str">
        <f t="shared" si="18"/>
        <v>7 hours sleep</v>
      </c>
      <c r="L32" s="26" t="b">
        <v>0</v>
      </c>
      <c r="M32" s="26" t="b">
        <v>1</v>
      </c>
      <c r="N32" s="26" t="b">
        <v>1</v>
      </c>
      <c r="O32" s="26" t="b">
        <v>1</v>
      </c>
      <c r="P32" s="26" t="b">
        <v>0</v>
      </c>
      <c r="Q32" s="26" t="b">
        <v>0</v>
      </c>
      <c r="R32" s="32" t="b">
        <v>0</v>
      </c>
      <c r="T32" s="82" t="s">
        <v>22</v>
      </c>
      <c r="U32" s="26" t="b">
        <v>1</v>
      </c>
      <c r="V32" s="26" t="b">
        <v>1</v>
      </c>
      <c r="W32" s="32" t="b">
        <v>0</v>
      </c>
      <c r="Y32" s="91" t="s">
        <v>27</v>
      </c>
      <c r="Z32" s="92">
        <f>COUNTIF(Z27:Z31,True)/COUNTA(Z27:Z31)</f>
        <v>1</v>
      </c>
      <c r="AF32" s="71"/>
      <c r="AG32" s="71"/>
    </row>
    <row r="33">
      <c r="A33" s="127"/>
      <c r="B33" s="82" t="str">
        <f t="shared" si="17"/>
        <v>Clean (~20 min)</v>
      </c>
      <c r="C33" s="26" t="b">
        <v>0</v>
      </c>
      <c r="D33" s="26" t="b">
        <v>1</v>
      </c>
      <c r="E33" s="26" t="b">
        <v>0</v>
      </c>
      <c r="F33" s="26" t="b">
        <v>0</v>
      </c>
      <c r="G33" s="26" t="b">
        <v>0</v>
      </c>
      <c r="H33" s="26" t="b">
        <v>0</v>
      </c>
      <c r="I33" s="32" t="b">
        <v>1</v>
      </c>
      <c r="J33" s="30"/>
      <c r="K33" s="81" t="str">
        <f t="shared" si="18"/>
        <v>Clean (~20 min)</v>
      </c>
      <c r="L33" s="26" t="b">
        <v>0</v>
      </c>
      <c r="M33" s="26" t="b">
        <v>1</v>
      </c>
      <c r="N33" s="26" t="b">
        <v>1</v>
      </c>
      <c r="O33" s="26" t="b">
        <v>0</v>
      </c>
      <c r="P33" s="26" t="b">
        <v>0</v>
      </c>
      <c r="Q33" s="26" t="b">
        <v>0</v>
      </c>
      <c r="R33" s="32" t="b">
        <v>0</v>
      </c>
      <c r="T33" s="85" t="s">
        <v>24</v>
      </c>
      <c r="U33" s="38" t="b">
        <v>1</v>
      </c>
      <c r="V33" s="38" t="b">
        <v>0</v>
      </c>
      <c r="W33" s="32" t="b">
        <v>0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0</v>
      </c>
      <c r="D34" s="26" t="b">
        <v>1</v>
      </c>
      <c r="E34" s="26" t="b">
        <v>0</v>
      </c>
      <c r="F34" s="26" t="b">
        <v>1</v>
      </c>
      <c r="G34" s="26" t="b">
        <v>1</v>
      </c>
      <c r="H34" s="26" t="b">
        <v>0</v>
      </c>
      <c r="I34" s="32" t="b">
        <v>1</v>
      </c>
      <c r="J34" s="30"/>
      <c r="K34" s="81" t="str">
        <f t="shared" si="18"/>
        <v>Read (~20 min)</v>
      </c>
      <c r="L34" s="26" t="b">
        <v>0</v>
      </c>
      <c r="M34" s="26" t="b">
        <v>1</v>
      </c>
      <c r="N34" s="26" t="b">
        <v>0</v>
      </c>
      <c r="O34" s="26" t="b">
        <v>0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W34" si="19">COUNTIF(U24:U33,True)/COUNTA(U24:U33)</f>
        <v>1</v>
      </c>
      <c r="V34" s="68">
        <f t="shared" si="19"/>
        <v>0.7</v>
      </c>
      <c r="W34" s="146">
        <f t="shared" si="19"/>
        <v>0</v>
      </c>
    </row>
    <row r="35">
      <c r="A35" s="133"/>
      <c r="B35" s="81" t="str">
        <f t="shared" si="17"/>
        <v>Vitamins</v>
      </c>
      <c r="C35" s="26" t="b">
        <v>0</v>
      </c>
      <c r="D35" s="26" t="b">
        <v>1</v>
      </c>
      <c r="E35" s="26" t="b">
        <v>0</v>
      </c>
      <c r="F35" s="26" t="b">
        <v>1</v>
      </c>
      <c r="G35" s="26" t="b">
        <v>1</v>
      </c>
      <c r="H35" s="26" t="b">
        <v>1</v>
      </c>
      <c r="I35" s="32" t="b">
        <v>1</v>
      </c>
      <c r="J35" s="30"/>
      <c r="K35" s="81" t="str">
        <f t="shared" si="18"/>
        <v>Vitamins</v>
      </c>
      <c r="L35" s="26" t="b">
        <v>0</v>
      </c>
      <c r="M35" s="26" t="b">
        <v>1</v>
      </c>
      <c r="N35" s="26" t="b">
        <v>0</v>
      </c>
      <c r="O35" s="26" t="b">
        <v>1</v>
      </c>
      <c r="P35" s="26" t="b">
        <v>0</v>
      </c>
      <c r="Q35" s="26" t="b">
        <v>0</v>
      </c>
      <c r="R35" s="32" t="b">
        <v>0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1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0.4166666667</v>
      </c>
      <c r="D37" s="44">
        <f t="shared" si="20"/>
        <v>1</v>
      </c>
      <c r="E37" s="44">
        <f t="shared" si="20"/>
        <v>0.4166666667</v>
      </c>
      <c r="F37" s="44">
        <f t="shared" si="20"/>
        <v>0.5833333333</v>
      </c>
      <c r="G37" s="44">
        <f t="shared" si="20"/>
        <v>0.3333333333</v>
      </c>
      <c r="H37" s="44">
        <f t="shared" si="20"/>
        <v>0.4166666667</v>
      </c>
      <c r="I37" s="45">
        <f t="shared" si="20"/>
        <v>0.5</v>
      </c>
      <c r="J37" s="21"/>
      <c r="K37" s="134" t="s">
        <v>27</v>
      </c>
      <c r="L37" s="135">
        <f t="shared" ref="L37:R37" si="21">COUNTIF(L25:L36,True)/COUNTA(L25:L36)</f>
        <v>0.25</v>
      </c>
      <c r="M37" s="135">
        <f t="shared" si="21"/>
        <v>0.6666666667</v>
      </c>
      <c r="N37" s="135">
        <f t="shared" si="21"/>
        <v>0.4166666667</v>
      </c>
      <c r="O37" s="135">
        <f t="shared" si="21"/>
        <v>0.5833333333</v>
      </c>
      <c r="P37" s="135">
        <f t="shared" si="21"/>
        <v>0</v>
      </c>
      <c r="Q37" s="135">
        <f t="shared" si="21"/>
        <v>0</v>
      </c>
      <c r="R37" s="135">
        <f t="shared" si="21"/>
        <v>0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45505.0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July2024!AF8+1</f>
        <v>45509</v>
      </c>
      <c r="D5" s="98">
        <f t="shared" ref="D5:I5" si="1">C5+1</f>
        <v>45510</v>
      </c>
      <c r="E5" s="98">
        <f t="shared" si="1"/>
        <v>45511</v>
      </c>
      <c r="F5" s="98">
        <f t="shared" si="1"/>
        <v>45512</v>
      </c>
      <c r="G5" s="98">
        <f t="shared" si="1"/>
        <v>45513</v>
      </c>
      <c r="H5" s="98">
        <f t="shared" si="1"/>
        <v>45514</v>
      </c>
      <c r="I5" s="125">
        <f t="shared" si="1"/>
        <v>45515</v>
      </c>
      <c r="J5" s="17"/>
      <c r="K5" s="126" t="s">
        <v>2</v>
      </c>
      <c r="L5" s="98">
        <f>I5+1</f>
        <v>45516</v>
      </c>
      <c r="M5" s="98">
        <f t="shared" ref="M5:R5" si="2">L5+1</f>
        <v>45517</v>
      </c>
      <c r="N5" s="98">
        <f t="shared" si="2"/>
        <v>45518</v>
      </c>
      <c r="O5" s="98">
        <f t="shared" si="2"/>
        <v>45519</v>
      </c>
      <c r="P5" s="98">
        <f t="shared" si="2"/>
        <v>45520</v>
      </c>
      <c r="Q5" s="98">
        <f t="shared" si="2"/>
        <v>45521</v>
      </c>
      <c r="R5" s="125">
        <f t="shared" si="2"/>
        <v>45522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0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0.2122222222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84</v>
      </c>
    </row>
    <row r="9">
      <c r="A9" s="128"/>
      <c r="B9" s="79" t="s">
        <v>39</v>
      </c>
      <c r="C9" s="26" t="b">
        <v>0</v>
      </c>
      <c r="D9" s="26" t="b">
        <v>0</v>
      </c>
      <c r="E9" s="26" t="b">
        <v>0</v>
      </c>
      <c r="F9" s="28" t="b">
        <v>0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0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0</v>
      </c>
      <c r="V9" s="32" t="b">
        <v>0</v>
      </c>
      <c r="X9" s="131">
        <f>X8 + July2024!AB4</f>
        <v>1958</v>
      </c>
    </row>
    <row r="10">
      <c r="A10" s="128"/>
      <c r="B10" s="79" t="s">
        <v>11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0</v>
      </c>
      <c r="V10" s="32" t="b">
        <v>0</v>
      </c>
    </row>
    <row r="11">
      <c r="A11" s="132"/>
      <c r="B11" s="95" t="s">
        <v>13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0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0</v>
      </c>
      <c r="V11" s="32" t="b">
        <v>0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0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1</v>
      </c>
      <c r="D14" s="26" t="b">
        <v>0</v>
      </c>
      <c r="E14" s="26" t="b">
        <v>1</v>
      </c>
      <c r="F14" s="26" t="b">
        <v>1</v>
      </c>
      <c r="G14" s="26" t="b">
        <v>0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0</v>
      </c>
      <c r="M14" s="26" t="b">
        <v>0</v>
      </c>
      <c r="N14" s="26" t="b">
        <v>1</v>
      </c>
      <c r="O14" s="26" t="b">
        <v>0</v>
      </c>
      <c r="P14" s="26" t="b">
        <v>0</v>
      </c>
      <c r="Q14" s="26" t="b">
        <v>0</v>
      </c>
      <c r="R14" s="32" t="b">
        <v>0</v>
      </c>
      <c r="T14" s="82" t="s">
        <v>16</v>
      </c>
      <c r="U14" s="26" t="b">
        <v>0</v>
      </c>
      <c r="V14" s="32" t="b">
        <v>0</v>
      </c>
    </row>
    <row r="15">
      <c r="A15" s="128"/>
      <c r="B15" s="79" t="s">
        <v>21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0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0</v>
      </c>
      <c r="V15" s="32" t="b">
        <v>0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0</v>
      </c>
      <c r="V16" s="32" t="b">
        <v>0</v>
      </c>
      <c r="X16" s="40" t="s">
        <v>25</v>
      </c>
      <c r="Y16" s="41"/>
    </row>
    <row r="17">
      <c r="A17" s="133"/>
      <c r="B17" s="81" t="s">
        <v>26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0</v>
      </c>
      <c r="V17" s="32" t="b">
        <v>0</v>
      </c>
      <c r="X17" s="82" t="s">
        <v>28</v>
      </c>
      <c r="Y17" s="32" t="b">
        <v>0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1</v>
      </c>
    </row>
    <row r="19">
      <c r="A19" s="127"/>
      <c r="B19" s="88" t="s">
        <v>27</v>
      </c>
      <c r="C19" s="44">
        <f t="shared" ref="C19:I19" si="6">COUNTIF(C7:C18,True)/COUNTA(C7:C18)</f>
        <v>0.08333333333</v>
      </c>
      <c r="D19" s="44">
        <f t="shared" si="6"/>
        <v>0</v>
      </c>
      <c r="E19" s="44">
        <f t="shared" si="6"/>
        <v>0.08333333333</v>
      </c>
      <c r="F19" s="44">
        <f t="shared" si="6"/>
        <v>0.08333333333</v>
      </c>
      <c r="G19" s="44">
        <f t="shared" si="6"/>
        <v>0</v>
      </c>
      <c r="H19" s="44">
        <f t="shared" si="6"/>
        <v>0</v>
      </c>
      <c r="I19" s="45">
        <f t="shared" si="6"/>
        <v>0</v>
      </c>
      <c r="J19" s="21"/>
      <c r="K19" s="89" t="s">
        <v>27</v>
      </c>
      <c r="L19" s="44">
        <f t="shared" ref="L19:R19" si="7">COUNTIF(L7:L18,True)/COUNTA(L7:L18)</f>
        <v>0</v>
      </c>
      <c r="M19" s="44">
        <f t="shared" si="7"/>
        <v>0</v>
      </c>
      <c r="N19" s="44">
        <f t="shared" si="7"/>
        <v>0.08333333333</v>
      </c>
      <c r="O19" s="44">
        <f t="shared" si="7"/>
        <v>0</v>
      </c>
      <c r="P19" s="44">
        <f t="shared" si="7"/>
        <v>0</v>
      </c>
      <c r="Q19" s="44">
        <f t="shared" si="7"/>
        <v>0</v>
      </c>
      <c r="R19" s="44">
        <f t="shared" si="7"/>
        <v>0</v>
      </c>
      <c r="T19" s="88" t="s">
        <v>27</v>
      </c>
      <c r="U19" s="44">
        <f t="shared" ref="U19:V19" si="8">COUNTIF(U9:U18,True)/COUNTA(U9:U18)</f>
        <v>0</v>
      </c>
      <c r="V19" s="45">
        <f t="shared" si="8"/>
        <v>0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0.6</v>
      </c>
      <c r="Z22" s="56"/>
      <c r="AA22" s="56"/>
    </row>
    <row r="23">
      <c r="A23" s="127"/>
      <c r="B23" s="107" t="s">
        <v>35</v>
      </c>
      <c r="C23" s="97">
        <f>R5+1</f>
        <v>45523</v>
      </c>
      <c r="D23" s="108">
        <f t="shared" ref="D23:I23" si="9">C23+1</f>
        <v>45524</v>
      </c>
      <c r="E23" s="108">
        <f t="shared" si="9"/>
        <v>45525</v>
      </c>
      <c r="F23" s="108">
        <f t="shared" si="9"/>
        <v>45526</v>
      </c>
      <c r="G23" s="108">
        <f t="shared" si="9"/>
        <v>45527</v>
      </c>
      <c r="H23" s="108">
        <f t="shared" si="9"/>
        <v>45528</v>
      </c>
      <c r="I23" s="111">
        <f t="shared" si="9"/>
        <v>45529</v>
      </c>
      <c r="J23" s="52"/>
      <c r="K23" s="110" t="s">
        <v>36</v>
      </c>
      <c r="L23" s="108">
        <f>I23+1</f>
        <v>45530</v>
      </c>
      <c r="M23" s="108">
        <f t="shared" ref="M23:R23" si="10">L23+1</f>
        <v>45531</v>
      </c>
      <c r="N23" s="108">
        <f t="shared" si="10"/>
        <v>45532</v>
      </c>
      <c r="O23" s="108">
        <f t="shared" si="10"/>
        <v>45533</v>
      </c>
      <c r="P23" s="108">
        <f t="shared" si="10"/>
        <v>45534</v>
      </c>
      <c r="Q23" s="108">
        <f t="shared" si="10"/>
        <v>45535</v>
      </c>
      <c r="R23" s="111">
        <f t="shared" si="10"/>
        <v>45536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0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0</v>
      </c>
      <c r="E25" s="27" t="b">
        <v>0</v>
      </c>
      <c r="F25" s="28" t="b">
        <v>0</v>
      </c>
      <c r="G25" s="27" t="b">
        <v>0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1</v>
      </c>
      <c r="R25" s="32" t="b">
        <v>1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32" t="b">
        <v>0</v>
      </c>
    </row>
    <row r="27">
      <c r="A27" s="127"/>
      <c r="B27" s="82" t="str">
        <f t="shared" si="13"/>
        <v>Social Media (&lt;limit)</v>
      </c>
      <c r="C27" s="26" t="b">
        <v>0</v>
      </c>
      <c r="D27" s="26" t="b">
        <v>0</v>
      </c>
      <c r="E27" s="26" t="b">
        <v>0</v>
      </c>
      <c r="F27" s="28" t="b">
        <v>0</v>
      </c>
      <c r="G27" s="27" t="b">
        <v>0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29" t="b">
        <v>0</v>
      </c>
      <c r="T27" s="82" t="s">
        <v>12</v>
      </c>
      <c r="U27" s="26" t="b">
        <v>1</v>
      </c>
      <c r="V27" s="32" t="b">
        <v>0</v>
      </c>
    </row>
    <row r="28">
      <c r="A28" s="127"/>
      <c r="B28" s="82" t="str">
        <f t="shared" si="13"/>
        <v>Eat in</v>
      </c>
      <c r="C28" s="26" t="b">
        <v>0</v>
      </c>
      <c r="D28" s="26" t="b">
        <v>0</v>
      </c>
      <c r="E28" s="26" t="b">
        <v>0</v>
      </c>
      <c r="F28" s="27" t="b">
        <v>0</v>
      </c>
      <c r="G28" s="26" t="b">
        <v>0</v>
      </c>
      <c r="H28" s="26" t="b">
        <v>0</v>
      </c>
      <c r="I28" s="29" t="b">
        <v>0</v>
      </c>
      <c r="J28" s="30"/>
      <c r="K28" s="81" t="str">
        <f t="shared" si="14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32" t="b">
        <v>1</v>
      </c>
      <c r="T28" s="82" t="s">
        <v>56</v>
      </c>
      <c r="U28" s="26" t="b">
        <v>1</v>
      </c>
      <c r="V28" s="32" t="b">
        <v>1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0</v>
      </c>
      <c r="E29" s="26" t="b">
        <v>0</v>
      </c>
      <c r="F29" s="27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29" t="b">
        <v>0</v>
      </c>
      <c r="T29" s="82" t="s">
        <v>16</v>
      </c>
      <c r="U29" s="26" t="b">
        <v>1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0</v>
      </c>
      <c r="D30" s="26" t="b">
        <v>0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32" t="b">
        <v>1</v>
      </c>
      <c r="T30" s="82" t="s">
        <v>18</v>
      </c>
      <c r="U30" s="26" t="b">
        <v>1</v>
      </c>
      <c r="V30" s="32" t="b">
        <v>1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0</v>
      </c>
      <c r="D32" s="26" t="b">
        <v>1</v>
      </c>
      <c r="E32" s="26" t="b">
        <v>1</v>
      </c>
      <c r="F32" s="26" t="b">
        <v>1</v>
      </c>
      <c r="G32" s="27" t="b">
        <v>0</v>
      </c>
      <c r="H32" s="26" t="b">
        <v>0</v>
      </c>
      <c r="I32" s="32" t="b">
        <v>0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1</v>
      </c>
      <c r="O32" s="26" t="b">
        <v>0</v>
      </c>
      <c r="P32" s="26" t="b">
        <v>1</v>
      </c>
      <c r="Q32" s="26" t="b">
        <v>0</v>
      </c>
      <c r="R32" s="29" t="b">
        <v>0</v>
      </c>
      <c r="T32" s="82" t="s">
        <v>22</v>
      </c>
      <c r="U32" s="26" t="b">
        <v>1</v>
      </c>
      <c r="V32" s="32" t="b">
        <v>1</v>
      </c>
    </row>
    <row r="33">
      <c r="A33" s="127"/>
      <c r="B33" s="82" t="str">
        <f t="shared" si="13"/>
        <v>Clean (~20 min)</v>
      </c>
      <c r="C33" s="26" t="b">
        <v>0</v>
      </c>
      <c r="D33" s="26" t="b">
        <v>0</v>
      </c>
      <c r="E33" s="26" t="b">
        <v>0</v>
      </c>
      <c r="F33" s="27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4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1</v>
      </c>
      <c r="Q33" s="26" t="b">
        <v>1</v>
      </c>
      <c r="R33" s="32" t="b">
        <v>1</v>
      </c>
      <c r="T33" s="85" t="s">
        <v>24</v>
      </c>
      <c r="U33" s="38" t="b">
        <v>0</v>
      </c>
      <c r="V33" s="39" t="b">
        <v>1</v>
      </c>
    </row>
    <row r="34">
      <c r="A34" s="127"/>
      <c r="B34" s="82" t="str">
        <f t="shared" si="13"/>
        <v>Read (~20 min)</v>
      </c>
      <c r="C34" s="26" t="b">
        <v>0</v>
      </c>
      <c r="D34" s="26" t="b">
        <v>0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1</v>
      </c>
      <c r="R34" s="32" t="b">
        <v>1</v>
      </c>
      <c r="T34" s="88" t="s">
        <v>27</v>
      </c>
      <c r="U34" s="68">
        <f t="shared" ref="U34:V34" si="15">COUNTIF(U24:U33,True)/COUNTA(U24:U33)</f>
        <v>0.8</v>
      </c>
      <c r="V34" s="69">
        <f t="shared" si="15"/>
        <v>0.8</v>
      </c>
    </row>
    <row r="35">
      <c r="A35" s="133"/>
      <c r="B35" s="81" t="str">
        <f t="shared" si="13"/>
        <v>Vitamins</v>
      </c>
      <c r="C35" s="26" t="b">
        <v>0</v>
      </c>
      <c r="D35" s="26" t="b">
        <v>0</v>
      </c>
      <c r="E35" s="27" t="b">
        <v>0</v>
      </c>
      <c r="F35" s="27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4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32" t="b">
        <v>1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38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</v>
      </c>
      <c r="D37" s="44">
        <f t="shared" si="16"/>
        <v>0.08333333333</v>
      </c>
      <c r="E37" s="44">
        <f t="shared" si="16"/>
        <v>0.08333333333</v>
      </c>
      <c r="F37" s="44">
        <f t="shared" si="16"/>
        <v>0.08333333333</v>
      </c>
      <c r="G37" s="44">
        <f t="shared" si="16"/>
        <v>0</v>
      </c>
      <c r="H37" s="44">
        <f t="shared" si="16"/>
        <v>0</v>
      </c>
      <c r="I37" s="45">
        <f t="shared" si="16"/>
        <v>0</v>
      </c>
      <c r="J37" s="21"/>
      <c r="K37" s="89" t="s">
        <v>27</v>
      </c>
      <c r="L37" s="44">
        <f t="shared" ref="L37:R37" si="17">COUNTIF(L25:L36,True)/COUNTA(L25:L36)</f>
        <v>0.08333333333</v>
      </c>
      <c r="M37" s="44">
        <f t="shared" si="17"/>
        <v>0.08333333333</v>
      </c>
      <c r="N37" s="44">
        <f t="shared" si="17"/>
        <v>0.08333333333</v>
      </c>
      <c r="O37" s="44">
        <f t="shared" si="17"/>
        <v>0</v>
      </c>
      <c r="P37" s="44">
        <f t="shared" si="17"/>
        <v>0.1666666667</v>
      </c>
      <c r="Q37" s="44">
        <f t="shared" si="17"/>
        <v>0.25</v>
      </c>
      <c r="R37" s="44">
        <f t="shared" si="17"/>
        <v>0.5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45536.0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August2024!R23+1</f>
        <v>45537</v>
      </c>
      <c r="D5" s="98">
        <f t="shared" ref="D5:I5" si="1">C5+1</f>
        <v>45538</v>
      </c>
      <c r="E5" s="98">
        <f t="shared" si="1"/>
        <v>45539</v>
      </c>
      <c r="F5" s="98">
        <f t="shared" si="1"/>
        <v>45540</v>
      </c>
      <c r="G5" s="98">
        <f t="shared" si="1"/>
        <v>45541</v>
      </c>
      <c r="H5" s="98">
        <f t="shared" si="1"/>
        <v>45542</v>
      </c>
      <c r="I5" s="125">
        <f t="shared" si="1"/>
        <v>45543</v>
      </c>
      <c r="J5" s="17"/>
      <c r="K5" s="126" t="s">
        <v>2</v>
      </c>
      <c r="L5" s="98">
        <f>I5+1</f>
        <v>45544</v>
      </c>
      <c r="M5" s="98">
        <f t="shared" ref="M5:R5" si="2">L5+1</f>
        <v>45545</v>
      </c>
      <c r="N5" s="98">
        <f t="shared" si="2"/>
        <v>45546</v>
      </c>
      <c r="O5" s="98">
        <f t="shared" si="2"/>
        <v>45547</v>
      </c>
      <c r="P5" s="98">
        <f t="shared" si="2"/>
        <v>45548</v>
      </c>
      <c r="Q5" s="98">
        <f t="shared" si="2"/>
        <v>45549</v>
      </c>
      <c r="R5" s="125">
        <f t="shared" si="2"/>
        <v>45550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1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1</v>
      </c>
      <c r="M7" s="26" t="b">
        <v>1</v>
      </c>
      <c r="N7" s="26" t="b">
        <v>1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0.58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1</v>
      </c>
      <c r="Q8" s="26" t="b">
        <v>1</v>
      </c>
      <c r="R8" s="32" t="b">
        <v>1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273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0</v>
      </c>
      <c r="G9" s="26" t="b">
        <v>0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0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1</v>
      </c>
      <c r="R9" s="32" t="b">
        <v>1</v>
      </c>
      <c r="T9" s="82" t="s">
        <v>6</v>
      </c>
      <c r="U9" s="26" t="b">
        <v>1</v>
      </c>
      <c r="V9" s="32" t="b">
        <v>1</v>
      </c>
      <c r="X9" s="131">
        <f>X8 + August2024!X9</f>
        <v>2231</v>
      </c>
    </row>
    <row r="10">
      <c r="A10" s="128"/>
      <c r="B10" s="79" t="s">
        <v>11</v>
      </c>
      <c r="C10" s="26" t="b">
        <v>1</v>
      </c>
      <c r="D10" s="26" t="b">
        <v>1</v>
      </c>
      <c r="E10" s="26" t="b">
        <v>0</v>
      </c>
      <c r="F10" s="26" t="b">
        <v>1</v>
      </c>
      <c r="G10" s="26" t="b">
        <v>0</v>
      </c>
      <c r="H10" s="26" t="b">
        <v>1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1</v>
      </c>
      <c r="O10" s="26" t="b">
        <v>1</v>
      </c>
      <c r="P10" s="26" t="b">
        <v>1</v>
      </c>
      <c r="Q10" s="26" t="b">
        <v>1</v>
      </c>
      <c r="R10" s="32" t="b">
        <v>0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1</v>
      </c>
      <c r="D11" s="26" t="b">
        <v>1</v>
      </c>
      <c r="E11" s="26" t="b">
        <v>0</v>
      </c>
      <c r="F11" s="26" t="b">
        <v>0</v>
      </c>
      <c r="G11" s="26" t="b">
        <v>0</v>
      </c>
      <c r="H11" s="26" t="b">
        <v>0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0</v>
      </c>
      <c r="N11" s="26" t="b">
        <v>1</v>
      </c>
      <c r="O11" s="26" t="b">
        <v>1</v>
      </c>
      <c r="P11" s="26" t="b">
        <v>0</v>
      </c>
      <c r="Q11" s="26" t="b">
        <v>0</v>
      </c>
      <c r="R11" s="32" t="b">
        <v>1</v>
      </c>
      <c r="T11" s="82" t="s">
        <v>10</v>
      </c>
      <c r="U11" s="26" t="b">
        <v>1</v>
      </c>
      <c r="V11" s="32" t="b">
        <v>1</v>
      </c>
    </row>
    <row r="12">
      <c r="A12" s="127"/>
      <c r="B12" s="82" t="s">
        <v>37</v>
      </c>
      <c r="C12" s="26" t="b">
        <v>1</v>
      </c>
      <c r="D12" s="26" t="b">
        <v>1</v>
      </c>
      <c r="E12" s="26" t="b">
        <v>1</v>
      </c>
      <c r="F12" s="26" t="b">
        <v>1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1</v>
      </c>
    </row>
    <row r="13">
      <c r="A13" s="128"/>
      <c r="B13" s="79" t="s">
        <v>49</v>
      </c>
      <c r="C13" s="26" t="b">
        <v>1</v>
      </c>
      <c r="D13" s="26" t="b">
        <v>1</v>
      </c>
      <c r="E13" s="26" t="b">
        <v>1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1</v>
      </c>
      <c r="M13" s="26" t="b">
        <v>1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1</v>
      </c>
      <c r="V13" s="32" t="b">
        <v>1</v>
      </c>
    </row>
    <row r="14">
      <c r="A14" s="128"/>
      <c r="B14" s="79" t="s">
        <v>19</v>
      </c>
      <c r="C14" s="26" t="b">
        <v>0</v>
      </c>
      <c r="D14" s="26" t="b">
        <v>0</v>
      </c>
      <c r="E14" s="26" t="b">
        <v>1</v>
      </c>
      <c r="F14" s="26" t="b">
        <v>1</v>
      </c>
      <c r="G14" s="26" t="b">
        <v>1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1</v>
      </c>
      <c r="P14" s="26" t="b">
        <v>1</v>
      </c>
      <c r="Q14" s="26" t="b">
        <v>1</v>
      </c>
      <c r="R14" s="32" t="b">
        <v>1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1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1</v>
      </c>
      <c r="I15" s="32" t="b">
        <v>1</v>
      </c>
      <c r="J15" s="30"/>
      <c r="K15" s="81" t="str">
        <f t="shared" si="5"/>
        <v>Clean (~20 min)</v>
      </c>
      <c r="L15" s="26" t="b">
        <v>0</v>
      </c>
      <c r="M15" s="26" t="b">
        <v>1</v>
      </c>
      <c r="N15" s="26" t="b">
        <v>0</v>
      </c>
      <c r="O15" s="26" t="b">
        <v>0</v>
      </c>
      <c r="P15" s="26" t="b">
        <v>0</v>
      </c>
      <c r="Q15" s="26" t="b">
        <v>1</v>
      </c>
      <c r="R15" s="32" t="b">
        <v>1</v>
      </c>
      <c r="T15" s="82" t="s">
        <v>18</v>
      </c>
      <c r="U15" s="26" t="b">
        <v>1</v>
      </c>
      <c r="V15" s="32" t="b">
        <v>1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1</v>
      </c>
      <c r="G16" s="26" t="b">
        <v>1</v>
      </c>
      <c r="H16" s="26" t="b">
        <v>1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1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1</v>
      </c>
      <c r="D17" s="26" t="b">
        <v>1</v>
      </c>
      <c r="E17" s="26" t="b">
        <v>1</v>
      </c>
      <c r="F17" s="26" t="b">
        <v>1</v>
      </c>
      <c r="G17" s="26" t="b">
        <v>0</v>
      </c>
      <c r="H17" s="26" t="b">
        <v>1</v>
      </c>
      <c r="I17" s="32" t="b">
        <v>0</v>
      </c>
      <c r="J17" s="30"/>
      <c r="K17" s="81" t="str">
        <f t="shared" si="5"/>
        <v>Vitamins</v>
      </c>
      <c r="L17" s="26" t="b">
        <v>1</v>
      </c>
      <c r="M17" s="26" t="b">
        <v>1</v>
      </c>
      <c r="N17" s="26" t="b">
        <v>1</v>
      </c>
      <c r="O17" s="26" t="b">
        <v>1</v>
      </c>
      <c r="P17" s="26" t="b">
        <v>1</v>
      </c>
      <c r="Q17" s="26" t="b">
        <v>1</v>
      </c>
      <c r="R17" s="32" t="b">
        <v>1</v>
      </c>
      <c r="T17" s="82" t="s">
        <v>22</v>
      </c>
      <c r="U17" s="26" t="b">
        <v>1</v>
      </c>
      <c r="V17" s="32" t="b">
        <v>0</v>
      </c>
      <c r="X17" s="82" t="s">
        <v>28</v>
      </c>
      <c r="Y17" s="32" t="b">
        <v>1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0.6666666667</v>
      </c>
      <c r="D19" s="44">
        <f t="shared" si="6"/>
        <v>0.5833333333</v>
      </c>
      <c r="E19" s="44">
        <f t="shared" si="6"/>
        <v>0.5</v>
      </c>
      <c r="F19" s="44">
        <f t="shared" si="6"/>
        <v>0.4166666667</v>
      </c>
      <c r="G19" s="44">
        <f t="shared" si="6"/>
        <v>0.1666666667</v>
      </c>
      <c r="H19" s="44">
        <f t="shared" si="6"/>
        <v>0.5</v>
      </c>
      <c r="I19" s="45">
        <f t="shared" si="6"/>
        <v>0.4166666667</v>
      </c>
      <c r="J19" s="21"/>
      <c r="K19" s="89" t="s">
        <v>27</v>
      </c>
      <c r="L19" s="44">
        <f t="shared" ref="L19:R19" si="7">COUNTIF(L7:L18,True)/COUNTA(L7:L18)</f>
        <v>0.5</v>
      </c>
      <c r="M19" s="44">
        <f t="shared" si="7"/>
        <v>0.5833333333</v>
      </c>
      <c r="N19" s="44">
        <f t="shared" si="7"/>
        <v>0.5</v>
      </c>
      <c r="O19" s="44">
        <f t="shared" si="7"/>
        <v>0.5</v>
      </c>
      <c r="P19" s="44">
        <f t="shared" si="7"/>
        <v>0.4166666667</v>
      </c>
      <c r="Q19" s="44">
        <f t="shared" si="7"/>
        <v>0.5</v>
      </c>
      <c r="R19" s="44">
        <f t="shared" si="7"/>
        <v>0.5</v>
      </c>
      <c r="T19" s="88" t="s">
        <v>27</v>
      </c>
      <c r="U19" s="44">
        <f t="shared" ref="U19:V19" si="8">COUNTIF(U9:U18,True)/COUNTA(U9:U18)</f>
        <v>0.9</v>
      </c>
      <c r="V19" s="45">
        <f t="shared" si="8"/>
        <v>0.8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0.6</v>
      </c>
      <c r="Z22" s="56"/>
      <c r="AA22" s="56"/>
    </row>
    <row r="23">
      <c r="A23" s="127"/>
      <c r="B23" s="107" t="s">
        <v>35</v>
      </c>
      <c r="C23" s="97">
        <f>R5+1</f>
        <v>45551</v>
      </c>
      <c r="D23" s="108">
        <f t="shared" ref="D23:I23" si="9">C23+1</f>
        <v>45552</v>
      </c>
      <c r="E23" s="108">
        <f t="shared" si="9"/>
        <v>45553</v>
      </c>
      <c r="F23" s="108">
        <f t="shared" si="9"/>
        <v>45554</v>
      </c>
      <c r="G23" s="108">
        <f t="shared" si="9"/>
        <v>45555</v>
      </c>
      <c r="H23" s="108">
        <f t="shared" si="9"/>
        <v>45556</v>
      </c>
      <c r="I23" s="111">
        <f t="shared" si="9"/>
        <v>45557</v>
      </c>
      <c r="J23" s="52"/>
      <c r="K23" s="110" t="s">
        <v>36</v>
      </c>
      <c r="L23" s="108">
        <f>I23+1</f>
        <v>45558</v>
      </c>
      <c r="M23" s="108">
        <f t="shared" ref="M23:R23" si="10">L23+1</f>
        <v>45559</v>
      </c>
      <c r="N23" s="108">
        <f t="shared" si="10"/>
        <v>45560</v>
      </c>
      <c r="O23" s="108">
        <f t="shared" si="10"/>
        <v>45561</v>
      </c>
      <c r="P23" s="108">
        <f t="shared" si="10"/>
        <v>45562</v>
      </c>
      <c r="Q23" s="108">
        <f t="shared" si="10"/>
        <v>45563</v>
      </c>
      <c r="R23" s="111">
        <f t="shared" si="10"/>
        <v>45564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1</v>
      </c>
      <c r="E25" s="27" t="b">
        <v>0</v>
      </c>
      <c r="F25" s="28" t="b">
        <v>0</v>
      </c>
      <c r="G25" s="27" t="b">
        <v>0</v>
      </c>
      <c r="H25" s="26" t="b">
        <v>1</v>
      </c>
      <c r="I25" s="29" t="b">
        <v>0</v>
      </c>
      <c r="J25" s="30"/>
      <c r="K25" s="81" t="str">
        <f t="shared" ref="K25:K35" si="14">B7</f>
        <v>Exercise</v>
      </c>
      <c r="L25" s="26" t="b">
        <v>1</v>
      </c>
      <c r="M25" s="26" t="b">
        <v>1</v>
      </c>
      <c r="N25" s="26" t="b">
        <v>1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1</v>
      </c>
      <c r="N26" s="26" t="b">
        <v>0</v>
      </c>
      <c r="O26" s="26" t="b">
        <v>0</v>
      </c>
      <c r="P26" s="26" t="b">
        <v>0</v>
      </c>
      <c r="Q26" s="26" t="b">
        <v>1</v>
      </c>
      <c r="R26" s="32" t="b">
        <v>1</v>
      </c>
      <c r="T26" s="82" t="s">
        <v>10</v>
      </c>
      <c r="U26" s="26" t="b">
        <v>0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6" t="b">
        <v>1</v>
      </c>
      <c r="H27" s="26" t="b">
        <v>1</v>
      </c>
      <c r="I27" s="32" t="b">
        <v>1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0</v>
      </c>
      <c r="R27" s="32" t="b">
        <v>1</v>
      </c>
      <c r="T27" s="82" t="s">
        <v>12</v>
      </c>
      <c r="U27" s="26" t="b">
        <v>0</v>
      </c>
      <c r="V27" s="32" t="b">
        <v>0</v>
      </c>
    </row>
    <row r="28">
      <c r="A28" s="127"/>
      <c r="B28" s="82" t="str">
        <f t="shared" si="13"/>
        <v>Eat in</v>
      </c>
      <c r="C28" s="26" t="b">
        <v>0</v>
      </c>
      <c r="D28" s="26" t="b">
        <v>1</v>
      </c>
      <c r="E28" s="26" t="b">
        <v>0</v>
      </c>
      <c r="F28" s="27" t="b">
        <v>0</v>
      </c>
      <c r="G28" s="26" t="b">
        <v>1</v>
      </c>
      <c r="H28" s="26" t="b">
        <v>0</v>
      </c>
      <c r="I28" s="32" t="b">
        <v>1</v>
      </c>
      <c r="J28" s="30"/>
      <c r="K28" s="81" t="str">
        <f t="shared" si="14"/>
        <v>Eat in</v>
      </c>
      <c r="L28" s="26" t="b">
        <v>1</v>
      </c>
      <c r="M28" s="26" t="b">
        <v>0</v>
      </c>
      <c r="N28" s="26" t="b">
        <v>0</v>
      </c>
      <c r="O28" s="26" t="b">
        <v>1</v>
      </c>
      <c r="P28" s="26" t="b">
        <v>0</v>
      </c>
      <c r="Q28" s="26" t="b">
        <v>0</v>
      </c>
      <c r="R28" s="32" t="b">
        <v>1</v>
      </c>
      <c r="T28" s="82" t="s">
        <v>56</v>
      </c>
      <c r="U28" s="26" t="b">
        <v>1</v>
      </c>
      <c r="V28" s="32" t="b">
        <v>1</v>
      </c>
    </row>
    <row r="29">
      <c r="A29" s="132"/>
      <c r="B29" s="95" t="str">
        <f t="shared" si="13"/>
        <v>Review Budget/Goals</v>
      </c>
      <c r="C29" s="26" t="b">
        <v>1</v>
      </c>
      <c r="D29" s="26" t="b">
        <v>0</v>
      </c>
      <c r="E29" s="26" t="b">
        <v>1</v>
      </c>
      <c r="F29" s="27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1</v>
      </c>
      <c r="M29" s="26" t="b">
        <v>0</v>
      </c>
      <c r="N29" s="26" t="b">
        <v>1</v>
      </c>
      <c r="O29" s="26" t="b">
        <v>1</v>
      </c>
      <c r="P29" s="26" t="b">
        <v>1</v>
      </c>
      <c r="Q29" s="26" t="b">
        <v>0</v>
      </c>
      <c r="R29" s="32" t="b">
        <v>1</v>
      </c>
      <c r="T29" s="82" t="s">
        <v>16</v>
      </c>
      <c r="U29" s="26" t="b">
        <v>1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1</v>
      </c>
      <c r="D30" s="26" t="b">
        <v>0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1</v>
      </c>
      <c r="J30" s="30"/>
      <c r="K30" s="81" t="str">
        <f t="shared" si="14"/>
        <v>(2x)Brush+(1x)Floss</v>
      </c>
      <c r="L30" s="26" t="b">
        <v>1</v>
      </c>
      <c r="M30" s="26" t="b">
        <v>1</v>
      </c>
      <c r="N30" s="26" t="b">
        <v>1</v>
      </c>
      <c r="O30" s="26" t="b">
        <v>0</v>
      </c>
      <c r="P30" s="26" t="b">
        <v>0</v>
      </c>
      <c r="Q30" s="26" t="b">
        <v>0</v>
      </c>
      <c r="R30" s="32" t="b">
        <v>1</v>
      </c>
      <c r="T30" s="82" t="s">
        <v>18</v>
      </c>
      <c r="U30" s="26" t="b">
        <v>1</v>
      </c>
      <c r="V30" s="32" t="b">
        <v>1</v>
      </c>
    </row>
    <row r="31">
      <c r="A31" s="127"/>
      <c r="B31" s="82" t="str">
        <f t="shared" si="13"/>
        <v>Water (3L)</v>
      </c>
      <c r="C31" s="26" t="b">
        <v>1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1</v>
      </c>
      <c r="N31" s="26" t="b">
        <v>1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1</v>
      </c>
      <c r="J32" s="30"/>
      <c r="K32" s="81" t="str">
        <f t="shared" si="14"/>
        <v>7 hours sleep</v>
      </c>
      <c r="L32" s="26" t="b">
        <v>1</v>
      </c>
      <c r="M32" s="26" t="b">
        <v>0</v>
      </c>
      <c r="N32" s="26" t="b">
        <v>0</v>
      </c>
      <c r="O32" s="26" t="b">
        <v>1</v>
      </c>
      <c r="P32" s="26" t="b">
        <v>1</v>
      </c>
      <c r="Q32" s="26" t="b">
        <v>1</v>
      </c>
      <c r="R32" s="32" t="b">
        <v>1</v>
      </c>
      <c r="T32" s="82" t="s">
        <v>22</v>
      </c>
      <c r="U32" s="26" t="b">
        <v>0</v>
      </c>
      <c r="V32" s="32" t="b">
        <v>1</v>
      </c>
    </row>
    <row r="33">
      <c r="A33" s="127"/>
      <c r="B33" s="82" t="str">
        <f t="shared" si="13"/>
        <v>Clean (~20 min)</v>
      </c>
      <c r="C33" s="26" t="b">
        <v>1</v>
      </c>
      <c r="D33" s="26" t="b">
        <v>0</v>
      </c>
      <c r="E33" s="26" t="b">
        <v>0</v>
      </c>
      <c r="F33" s="27" t="b">
        <v>0</v>
      </c>
      <c r="G33" s="26" t="b">
        <v>1</v>
      </c>
      <c r="H33" s="26" t="b">
        <v>1</v>
      </c>
      <c r="I33" s="32" t="b">
        <v>0</v>
      </c>
      <c r="J33" s="30"/>
      <c r="K33" s="81" t="str">
        <f t="shared" si="14"/>
        <v>Clean (~20 min)</v>
      </c>
      <c r="L33" s="26" t="b">
        <v>1</v>
      </c>
      <c r="M33" s="26" t="b">
        <v>0</v>
      </c>
      <c r="N33" s="26" t="b">
        <v>1</v>
      </c>
      <c r="O33" s="26" t="b">
        <v>1</v>
      </c>
      <c r="P33" s="26" t="b">
        <v>0</v>
      </c>
      <c r="Q33" s="26" t="b">
        <v>1</v>
      </c>
      <c r="R33" s="32" t="b">
        <v>1</v>
      </c>
      <c r="T33" s="85" t="s">
        <v>24</v>
      </c>
      <c r="U33" s="38" t="b">
        <v>1</v>
      </c>
      <c r="V33" s="39" t="b">
        <v>0</v>
      </c>
    </row>
    <row r="34">
      <c r="A34" s="127"/>
      <c r="B34" s="82" t="str">
        <f t="shared" si="13"/>
        <v>Read (~20 min)</v>
      </c>
      <c r="C34" s="26" t="b">
        <v>1</v>
      </c>
      <c r="D34" s="26" t="b">
        <v>1</v>
      </c>
      <c r="E34" s="26" t="b">
        <v>1</v>
      </c>
      <c r="F34" s="26" t="b">
        <v>1</v>
      </c>
      <c r="G34" s="27" t="b">
        <v>0</v>
      </c>
      <c r="H34" s="26" t="b">
        <v>1</v>
      </c>
      <c r="I34" s="32" t="b">
        <v>1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1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0.7</v>
      </c>
      <c r="V34" s="69">
        <f t="shared" si="15"/>
        <v>0.8</v>
      </c>
    </row>
    <row r="35">
      <c r="A35" s="133"/>
      <c r="B35" s="81" t="str">
        <f t="shared" si="13"/>
        <v>Vitamins</v>
      </c>
      <c r="C35" s="26" t="b">
        <v>1</v>
      </c>
      <c r="D35" s="26" t="b">
        <v>1</v>
      </c>
      <c r="E35" s="26" t="b">
        <v>1</v>
      </c>
      <c r="F35" s="26" t="b">
        <v>1</v>
      </c>
      <c r="G35" s="26" t="b">
        <v>0</v>
      </c>
      <c r="H35" s="26" t="b">
        <v>1</v>
      </c>
      <c r="I35" s="32" t="b">
        <v>1</v>
      </c>
      <c r="J35" s="30"/>
      <c r="K35" s="81" t="str">
        <f t="shared" si="14"/>
        <v>Vitamins</v>
      </c>
      <c r="L35" s="26" t="b">
        <v>1</v>
      </c>
      <c r="M35" s="26" t="b">
        <v>1</v>
      </c>
      <c r="N35" s="26" t="b">
        <v>1</v>
      </c>
      <c r="O35" s="26" t="b">
        <v>0</v>
      </c>
      <c r="P35" s="26" t="b">
        <v>0</v>
      </c>
      <c r="Q35" s="26" t="b">
        <v>1</v>
      </c>
      <c r="R35" s="32" t="b">
        <v>1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38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0.6666666667</v>
      </c>
      <c r="D37" s="44">
        <f t="shared" si="16"/>
        <v>0.5</v>
      </c>
      <c r="E37" s="44">
        <f t="shared" si="16"/>
        <v>0.4166666667</v>
      </c>
      <c r="F37" s="44">
        <f t="shared" si="16"/>
        <v>0.3333333333</v>
      </c>
      <c r="G37" s="44">
        <f t="shared" si="16"/>
        <v>0.3333333333</v>
      </c>
      <c r="H37" s="44">
        <f t="shared" si="16"/>
        <v>0.5</v>
      </c>
      <c r="I37" s="45">
        <f t="shared" si="16"/>
        <v>0.5</v>
      </c>
      <c r="J37" s="21"/>
      <c r="K37" s="89" t="s">
        <v>27</v>
      </c>
      <c r="L37" s="44">
        <f t="shared" ref="L37:R37" si="17">COUNTIF(L25:L36,True)/COUNTA(L25:L36)</f>
        <v>0.6666666667</v>
      </c>
      <c r="M37" s="44">
        <f t="shared" si="17"/>
        <v>0.5</v>
      </c>
      <c r="N37" s="44">
        <f t="shared" si="17"/>
        <v>0.5833333333</v>
      </c>
      <c r="O37" s="44">
        <f t="shared" si="17"/>
        <v>0.4166666667</v>
      </c>
      <c r="P37" s="44">
        <f t="shared" si="17"/>
        <v>0.3333333333</v>
      </c>
      <c r="Q37" s="44">
        <f t="shared" si="17"/>
        <v>0.3333333333</v>
      </c>
      <c r="R37" s="44">
        <f t="shared" si="17"/>
        <v>0.6666666667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0.6227272727</v>
      </c>
    </row>
    <row r="3">
      <c r="A3" s="120"/>
      <c r="B3" s="8">
        <v>45566.0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356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September2024!X9</f>
        <v>2587</v>
      </c>
    </row>
    <row r="5">
      <c r="A5" s="124"/>
      <c r="B5" s="96" t="s">
        <v>1</v>
      </c>
      <c r="C5" s="97">
        <f>September2024!R23+1</f>
        <v>45565</v>
      </c>
      <c r="D5" s="98">
        <f t="shared" ref="D5:I5" si="1">C5+1</f>
        <v>45566</v>
      </c>
      <c r="E5" s="98">
        <f t="shared" si="1"/>
        <v>45567</v>
      </c>
      <c r="F5" s="98">
        <f t="shared" si="1"/>
        <v>45568</v>
      </c>
      <c r="G5" s="98">
        <f t="shared" si="1"/>
        <v>45569</v>
      </c>
      <c r="H5" s="98">
        <f t="shared" si="1"/>
        <v>45570</v>
      </c>
      <c r="I5" s="125">
        <f t="shared" si="1"/>
        <v>45571</v>
      </c>
      <c r="J5" s="17"/>
      <c r="K5" s="126" t="s">
        <v>2</v>
      </c>
      <c r="L5" s="98">
        <f>I5+1</f>
        <v>45572</v>
      </c>
      <c r="M5" s="98">
        <f t="shared" ref="M5:R5" si="2">L5+1</f>
        <v>45573</v>
      </c>
      <c r="N5" s="98">
        <f t="shared" si="2"/>
        <v>45574</v>
      </c>
      <c r="O5" s="98">
        <f t="shared" si="2"/>
        <v>45575</v>
      </c>
      <c r="P5" s="98">
        <f t="shared" si="2"/>
        <v>45576</v>
      </c>
      <c r="Q5" s="98">
        <f t="shared" si="2"/>
        <v>45577</v>
      </c>
      <c r="R5" s="125">
        <f t="shared" si="2"/>
        <v>45578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1</v>
      </c>
      <c r="F7" s="28" t="b">
        <v>1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1</v>
      </c>
      <c r="M7" s="26" t="b">
        <v>1</v>
      </c>
      <c r="N7" s="26" t="b">
        <v>1</v>
      </c>
      <c r="O7" s="26" t="b">
        <v>0</v>
      </c>
      <c r="P7" s="26" t="b">
        <v>0</v>
      </c>
      <c r="Q7" s="26" t="b">
        <v>0</v>
      </c>
      <c r="R7" s="32" t="b"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1</v>
      </c>
      <c r="I8" s="32" t="b">
        <v>1</v>
      </c>
      <c r="J8" s="30"/>
      <c r="K8" s="81" t="str">
        <f t="shared" si="5"/>
        <v>Stretch/Yoga (&gt;20min)</v>
      </c>
      <c r="L8" s="26" t="b">
        <v>1</v>
      </c>
      <c r="M8" s="26" t="b">
        <v>0</v>
      </c>
      <c r="N8" s="26" t="b">
        <v>0</v>
      </c>
      <c r="O8" s="26" t="b">
        <v>1</v>
      </c>
      <c r="P8" s="26" t="b">
        <v>0</v>
      </c>
      <c r="Q8" s="26" t="b">
        <v>1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45593</v>
      </c>
      <c r="AA8" s="108">
        <f t="shared" ref="AA8:AF8" si="6">Z8+1</f>
        <v>45594</v>
      </c>
      <c r="AB8" s="108">
        <f t="shared" si="6"/>
        <v>45595</v>
      </c>
      <c r="AC8" s="108">
        <f t="shared" si="6"/>
        <v>45596</v>
      </c>
      <c r="AD8" s="108">
        <f t="shared" si="6"/>
        <v>45597</v>
      </c>
      <c r="AE8" s="108">
        <f t="shared" si="6"/>
        <v>45598</v>
      </c>
      <c r="AF8" s="111">
        <f t="shared" si="6"/>
        <v>45599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1</v>
      </c>
      <c r="R9" s="32" t="b">
        <v>0</v>
      </c>
      <c r="T9" s="82" t="s">
        <v>6</v>
      </c>
      <c r="U9" s="26" t="b">
        <v>1</v>
      </c>
      <c r="V9" s="32" t="b">
        <v>1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0</v>
      </c>
      <c r="D10" s="26" t="b">
        <v>1</v>
      </c>
      <c r="E10" s="26" t="b">
        <v>0</v>
      </c>
      <c r="F10" s="26" t="b">
        <v>0</v>
      </c>
      <c r="G10" s="26" t="b">
        <v>1</v>
      </c>
      <c r="H10" s="26" t="b">
        <v>0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0</v>
      </c>
      <c r="N10" s="26" t="b">
        <v>1</v>
      </c>
      <c r="O10" s="26" t="b">
        <v>0</v>
      </c>
      <c r="P10" s="26" t="b">
        <v>1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1</v>
      </c>
      <c r="Y10" s="81" t="str">
        <f t="shared" ref="Y10:Y20" si="8">K7</f>
        <v>Exercise</v>
      </c>
      <c r="Z10" s="26" t="b">
        <v>0</v>
      </c>
      <c r="AA10" s="26" t="b">
        <v>0</v>
      </c>
      <c r="AB10" s="26" t="b">
        <v>1</v>
      </c>
      <c r="AC10" s="26" t="b">
        <v>1</v>
      </c>
      <c r="AD10" s="26" t="b">
        <v>0</v>
      </c>
      <c r="AE10" s="26" t="b">
        <v>0</v>
      </c>
      <c r="AF10" s="29" t="b">
        <v>0</v>
      </c>
      <c r="AG10" s="133"/>
    </row>
    <row r="11">
      <c r="A11" s="132"/>
      <c r="B11" s="95" t="s">
        <v>13</v>
      </c>
      <c r="C11" s="26" t="b">
        <v>1</v>
      </c>
      <c r="D11" s="26" t="b">
        <v>1</v>
      </c>
      <c r="E11" s="26" t="b">
        <v>1</v>
      </c>
      <c r="F11" s="26" t="b">
        <v>0</v>
      </c>
      <c r="G11" s="26" t="b">
        <v>1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0</v>
      </c>
      <c r="O11" s="26" t="b">
        <v>1</v>
      </c>
      <c r="P11" s="26" t="b">
        <v>1</v>
      </c>
      <c r="Q11" s="26" t="b">
        <v>1</v>
      </c>
      <c r="R11" s="32" t="b">
        <v>1</v>
      </c>
      <c r="T11" s="82" t="s">
        <v>10</v>
      </c>
      <c r="U11" s="26" t="b">
        <v>1</v>
      </c>
      <c r="V11" s="32" t="b">
        <v>1</v>
      </c>
      <c r="Y11" s="81" t="str">
        <f t="shared" si="8"/>
        <v>Stretch/Yoga (&gt;20min)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32" t="b">
        <v>1</v>
      </c>
      <c r="AG11" s="133"/>
    </row>
    <row r="12">
      <c r="A12" s="127"/>
      <c r="B12" s="82" t="s">
        <v>37</v>
      </c>
      <c r="C12" s="26" t="b">
        <v>1</v>
      </c>
      <c r="D12" s="26" t="b">
        <v>1</v>
      </c>
      <c r="E12" s="26" t="b">
        <v>1</v>
      </c>
      <c r="F12" s="26" t="b">
        <v>0</v>
      </c>
      <c r="G12" s="26" t="b">
        <v>0</v>
      </c>
      <c r="H12" s="26" t="b">
        <v>0</v>
      </c>
      <c r="I12" s="32" t="b">
        <v>1</v>
      </c>
      <c r="J12" s="30"/>
      <c r="K12" s="81" t="str">
        <f t="shared" si="5"/>
        <v>(2x)Brush+(1x)Floss</v>
      </c>
      <c r="L12" s="26" t="b">
        <v>1</v>
      </c>
      <c r="M12" s="26" t="b">
        <v>1</v>
      </c>
      <c r="N12" s="26" t="b">
        <v>1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1</v>
      </c>
      <c r="Y12" s="81" t="str">
        <f t="shared" si="8"/>
        <v>Social Media (&lt;limit)</v>
      </c>
      <c r="Z12" s="26" t="b">
        <v>1</v>
      </c>
      <c r="AA12" s="26" t="b">
        <v>1</v>
      </c>
      <c r="AB12" s="26" t="b">
        <v>1</v>
      </c>
      <c r="AC12" s="26" t="b">
        <v>1</v>
      </c>
      <c r="AD12" s="26" t="b">
        <v>1</v>
      </c>
      <c r="AE12" s="26" t="b">
        <v>1</v>
      </c>
      <c r="AF12" s="32" t="b">
        <v>1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1</v>
      </c>
      <c r="V13" s="32" t="b">
        <v>1</v>
      </c>
      <c r="Y13" s="81" t="str">
        <f t="shared" si="8"/>
        <v>Eat in</v>
      </c>
      <c r="Z13" s="26" t="b">
        <v>1</v>
      </c>
      <c r="AA13" s="26" t="b">
        <v>1</v>
      </c>
      <c r="AB13" s="26" t="b">
        <v>1</v>
      </c>
      <c r="AC13" s="26" t="b">
        <v>0</v>
      </c>
      <c r="AD13" s="26" t="b">
        <v>1</v>
      </c>
      <c r="AE13" s="26" t="b">
        <v>0</v>
      </c>
      <c r="AF13" s="32" t="b">
        <v>1</v>
      </c>
      <c r="AG13" s="133"/>
    </row>
    <row r="14">
      <c r="A14" s="128"/>
      <c r="B14" s="79" t="s">
        <v>19</v>
      </c>
      <c r="C14" s="26" t="b">
        <v>0</v>
      </c>
      <c r="D14" s="26" t="b">
        <v>1</v>
      </c>
      <c r="E14" s="26" t="b">
        <v>1</v>
      </c>
      <c r="F14" s="26" t="b">
        <v>0</v>
      </c>
      <c r="G14" s="26" t="b">
        <v>0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1</v>
      </c>
      <c r="P14" s="26" t="b">
        <v>0</v>
      </c>
      <c r="Q14" s="26" t="b">
        <v>1</v>
      </c>
      <c r="R14" s="32" t="b">
        <v>1</v>
      </c>
      <c r="T14" s="82" t="s">
        <v>16</v>
      </c>
      <c r="U14" s="26" t="b">
        <v>1</v>
      </c>
      <c r="V14" s="32" t="b">
        <v>1</v>
      </c>
      <c r="Y14" s="95" t="str">
        <f t="shared" si="8"/>
        <v>Review Budget/Goals</v>
      </c>
      <c r="Z14" s="26" t="b">
        <v>0</v>
      </c>
      <c r="AA14" s="26" t="b">
        <v>0</v>
      </c>
      <c r="AB14" s="26" t="b">
        <v>0</v>
      </c>
      <c r="AC14" s="26" t="b">
        <v>0</v>
      </c>
      <c r="AD14" s="26" t="b">
        <v>0</v>
      </c>
      <c r="AE14" s="26" t="b">
        <v>1</v>
      </c>
      <c r="AF14" s="32" t="b">
        <v>1</v>
      </c>
      <c r="AG14" s="133"/>
    </row>
    <row r="15">
      <c r="A15" s="128"/>
      <c r="B15" s="79" t="s">
        <v>21</v>
      </c>
      <c r="C15" s="26" t="b">
        <v>1</v>
      </c>
      <c r="D15" s="26" t="b">
        <v>1</v>
      </c>
      <c r="E15" s="26" t="b">
        <v>0</v>
      </c>
      <c r="F15" s="26" t="b">
        <v>0</v>
      </c>
      <c r="G15" s="26" t="b">
        <v>0</v>
      </c>
      <c r="H15" s="26" t="b">
        <v>1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0</v>
      </c>
      <c r="P15" s="26" t="b">
        <v>1</v>
      </c>
      <c r="Q15" s="26" t="b">
        <v>1</v>
      </c>
      <c r="R15" s="32" t="b">
        <v>0</v>
      </c>
      <c r="T15" s="82" t="s">
        <v>18</v>
      </c>
      <c r="U15" s="26" t="b">
        <v>1</v>
      </c>
      <c r="V15" s="32" t="b">
        <v>1</v>
      </c>
      <c r="Y15" s="81" t="str">
        <f t="shared" si="8"/>
        <v>(2x)Brush+(1x)Floss</v>
      </c>
      <c r="Z15" s="26" t="b">
        <v>0</v>
      </c>
      <c r="AA15" s="26" t="b">
        <v>0</v>
      </c>
      <c r="AB15" s="26" t="b">
        <v>1</v>
      </c>
      <c r="AC15" s="26" t="b">
        <v>0</v>
      </c>
      <c r="AD15" s="26" t="b">
        <v>0</v>
      </c>
      <c r="AE15" s="26" t="b">
        <v>0</v>
      </c>
      <c r="AF15" s="32" t="b">
        <v>0</v>
      </c>
      <c r="AG15" s="133"/>
    </row>
    <row r="16">
      <c r="A16" s="128"/>
      <c r="B16" s="79" t="s">
        <v>23</v>
      </c>
      <c r="C16" s="26" t="b">
        <v>1</v>
      </c>
      <c r="D16" s="26" t="b">
        <v>0</v>
      </c>
      <c r="E16" s="26" t="b">
        <v>1</v>
      </c>
      <c r="F16" s="26" t="b">
        <v>0</v>
      </c>
      <c r="G16" s="26" t="b">
        <v>0</v>
      </c>
      <c r="H16" s="26" t="b">
        <v>1</v>
      </c>
      <c r="I16" s="32" t="b">
        <v>1</v>
      </c>
      <c r="J16" s="30"/>
      <c r="K16" s="81" t="str">
        <f t="shared" si="5"/>
        <v>Read (~20 min)</v>
      </c>
      <c r="L16" s="26" t="b">
        <v>1</v>
      </c>
      <c r="M16" s="26" t="b">
        <v>1</v>
      </c>
      <c r="N16" s="26" t="b">
        <v>0</v>
      </c>
      <c r="O16" s="26" t="b">
        <v>1</v>
      </c>
      <c r="P16" s="26" t="b">
        <v>1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1</v>
      </c>
      <c r="D17" s="26" t="b">
        <v>1</v>
      </c>
      <c r="E17" s="26" t="b">
        <v>1</v>
      </c>
      <c r="F17" s="26" t="b">
        <v>1</v>
      </c>
      <c r="G17" s="26" t="b">
        <v>1</v>
      </c>
      <c r="H17" s="26" t="b">
        <v>1</v>
      </c>
      <c r="I17" s="32" t="b">
        <v>1</v>
      </c>
      <c r="J17" s="30"/>
      <c r="K17" s="81" t="str">
        <f t="shared" si="5"/>
        <v>Vitamins</v>
      </c>
      <c r="L17" s="26" t="b">
        <v>1</v>
      </c>
      <c r="M17" s="26" t="b">
        <v>1</v>
      </c>
      <c r="N17" s="26" t="b">
        <v>1</v>
      </c>
      <c r="O17" s="26" t="b">
        <v>1</v>
      </c>
      <c r="P17" s="26" t="b">
        <v>1</v>
      </c>
      <c r="Q17" s="26" t="b">
        <v>1</v>
      </c>
      <c r="R17" s="32" t="b">
        <v>0</v>
      </c>
      <c r="T17" s="82" t="s">
        <v>22</v>
      </c>
      <c r="U17" s="26" t="b">
        <v>1</v>
      </c>
      <c r="V17" s="32" t="b">
        <v>1</v>
      </c>
      <c r="Y17" s="81" t="str">
        <f t="shared" si="8"/>
        <v>7 hours sleep</v>
      </c>
      <c r="Z17" s="26" t="b">
        <v>1</v>
      </c>
      <c r="AA17" s="26" t="b">
        <v>1</v>
      </c>
      <c r="AB17" s="26" t="b">
        <v>1</v>
      </c>
      <c r="AC17" s="26" t="b">
        <v>1</v>
      </c>
      <c r="AD17" s="26" t="b">
        <v>1</v>
      </c>
      <c r="AE17" s="26" t="b">
        <v>1</v>
      </c>
      <c r="AF17" s="32" t="b">
        <v>1</v>
      </c>
      <c r="AG17" s="133"/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1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1</v>
      </c>
      <c r="V18" s="39" t="b">
        <v>1</v>
      </c>
      <c r="Y18" s="81" t="str">
        <f t="shared" si="8"/>
        <v>Clean (~20 min)</v>
      </c>
      <c r="Z18" s="26" t="b">
        <v>1</v>
      </c>
      <c r="AA18" s="26" t="b">
        <v>0</v>
      </c>
      <c r="AB18" s="26" t="b">
        <v>1</v>
      </c>
      <c r="AC18" s="26" t="b">
        <v>0</v>
      </c>
      <c r="AD18" s="26" t="b">
        <v>1</v>
      </c>
      <c r="AE18" s="26" t="b">
        <v>0</v>
      </c>
      <c r="AF18" s="32" t="b">
        <v>1</v>
      </c>
      <c r="AG18" s="133"/>
    </row>
    <row r="19">
      <c r="A19" s="127"/>
      <c r="B19" s="88" t="s">
        <v>27</v>
      </c>
      <c r="C19" s="44">
        <f t="shared" ref="C19:I19" si="9">COUNTIF(C7:C18,True)/COUNTA(C7:C18)</f>
        <v>0.5</v>
      </c>
      <c r="D19" s="44">
        <f t="shared" si="9"/>
        <v>0.5833333333</v>
      </c>
      <c r="E19" s="44">
        <f t="shared" si="9"/>
        <v>0.5833333333</v>
      </c>
      <c r="F19" s="44">
        <f t="shared" si="9"/>
        <v>0.25</v>
      </c>
      <c r="G19" s="44">
        <f t="shared" si="9"/>
        <v>0.3333333333</v>
      </c>
      <c r="H19" s="44">
        <f t="shared" si="9"/>
        <v>0.5</v>
      </c>
      <c r="I19" s="45">
        <f t="shared" si="9"/>
        <v>0.6666666667</v>
      </c>
      <c r="J19" s="21"/>
      <c r="K19" s="134" t="s">
        <v>27</v>
      </c>
      <c r="L19" s="135">
        <f t="shared" ref="L19:R19" si="10">COUNTIF(L7:L18,True)/COUNTA(L7:L18)</f>
        <v>0.9166666667</v>
      </c>
      <c r="M19" s="135">
        <f t="shared" si="10"/>
        <v>0.5833333333</v>
      </c>
      <c r="N19" s="135">
        <f t="shared" si="10"/>
        <v>0.5</v>
      </c>
      <c r="O19" s="135">
        <f t="shared" si="10"/>
        <v>0.5</v>
      </c>
      <c r="P19" s="135">
        <f t="shared" si="10"/>
        <v>0.5</v>
      </c>
      <c r="Q19" s="135">
        <f t="shared" si="10"/>
        <v>0.5</v>
      </c>
      <c r="R19" s="135">
        <f t="shared" si="10"/>
        <v>0.1666666667</v>
      </c>
      <c r="T19" s="88" t="s">
        <v>27</v>
      </c>
      <c r="U19" s="44">
        <f t="shared" ref="U19:V19" si="11">COUNTIF(U9:U18,True)/COUNTA(U9:U18)</f>
        <v>0.9</v>
      </c>
      <c r="V19" s="45">
        <f t="shared" si="11"/>
        <v>1</v>
      </c>
      <c r="Y19" s="81" t="str">
        <f t="shared" si="8"/>
        <v>Read (~20 min)</v>
      </c>
      <c r="Z19" s="26" t="b">
        <v>0</v>
      </c>
      <c r="AA19" s="26" t="b">
        <v>0</v>
      </c>
      <c r="AB19" s="26" t="b">
        <v>0</v>
      </c>
      <c r="AC19" s="26" t="b">
        <v>0</v>
      </c>
      <c r="AD19" s="26" t="b">
        <v>0</v>
      </c>
      <c r="AE19" s="26" t="b">
        <v>0</v>
      </c>
      <c r="AF19" s="29" t="b">
        <v>0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1</v>
      </c>
      <c r="AA20" s="26" t="b">
        <v>1</v>
      </c>
      <c r="AB20" s="26" t="b">
        <v>1</v>
      </c>
      <c r="AC20" s="26" t="b">
        <v>1</v>
      </c>
      <c r="AD20" s="26" t="b">
        <v>1</v>
      </c>
      <c r="AE20" s="26" t="b">
        <v>1</v>
      </c>
      <c r="AF20" s="32" t="b">
        <v>1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COUNTIF(Z10:Z21,True)/COUNTA(Z10:Z21)</f>
        <v>0.4166666667</v>
      </c>
      <c r="AA22" s="135">
        <f t="shared" si="12"/>
        <v>0.3333333333</v>
      </c>
      <c r="AB22" s="135">
        <f t="shared" si="12"/>
        <v>0.5833333333</v>
      </c>
      <c r="AC22" s="135">
        <f t="shared" si="12"/>
        <v>0.3333333333</v>
      </c>
      <c r="AD22" s="135">
        <f t="shared" si="12"/>
        <v>0.4166666667</v>
      </c>
      <c r="AE22" s="135">
        <f t="shared" si="12"/>
        <v>0.3333333333</v>
      </c>
      <c r="AF22" s="135">
        <f t="shared" si="12"/>
        <v>0.5833333333</v>
      </c>
      <c r="AG22" s="71"/>
    </row>
    <row r="23">
      <c r="A23" s="127"/>
      <c r="B23" s="139" t="s">
        <v>35</v>
      </c>
      <c r="C23" s="97">
        <f>R5+1</f>
        <v>45579</v>
      </c>
      <c r="D23" s="108">
        <f t="shared" ref="D23:I23" si="13">C23+1</f>
        <v>45580</v>
      </c>
      <c r="E23" s="108">
        <f t="shared" si="13"/>
        <v>45581</v>
      </c>
      <c r="F23" s="108">
        <f t="shared" si="13"/>
        <v>45582</v>
      </c>
      <c r="G23" s="108">
        <f t="shared" si="13"/>
        <v>45583</v>
      </c>
      <c r="H23" s="108">
        <f t="shared" si="13"/>
        <v>45584</v>
      </c>
      <c r="I23" s="111">
        <f t="shared" si="13"/>
        <v>45585</v>
      </c>
      <c r="J23" s="52"/>
      <c r="K23" s="110" t="s">
        <v>36</v>
      </c>
      <c r="L23" s="108">
        <f>I23+1</f>
        <v>45586</v>
      </c>
      <c r="M23" s="108">
        <f t="shared" ref="M23:R23" si="14">L23+1</f>
        <v>45587</v>
      </c>
      <c r="N23" s="108">
        <f t="shared" si="14"/>
        <v>45588</v>
      </c>
      <c r="O23" s="108">
        <f t="shared" si="14"/>
        <v>45589</v>
      </c>
      <c r="P23" s="108">
        <f t="shared" si="14"/>
        <v>45590</v>
      </c>
      <c r="Q23" s="108">
        <f t="shared" si="14"/>
        <v>45591</v>
      </c>
      <c r="R23" s="111">
        <f t="shared" si="14"/>
        <v>45592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1</v>
      </c>
      <c r="V24" s="26" t="b">
        <v>1</v>
      </c>
      <c r="W24" s="32" t="b">
        <v>1</v>
      </c>
      <c r="Y24" s="90" t="s">
        <v>48</v>
      </c>
      <c r="Z24" s="53" t="str">
        <f>IFERROR(__xludf.DUMMYFUNCTION("SPARKLINE((SUM(Z22:AF22)+3*W34)/10,{""charttype"",""bar"";""max"",1;""min"",0;""color1"",IF((SUM(Z22:AF22)+3*W34)/10&gt;0.7,""green"",IF((SUM(Z22:AF22)+3*W34)/10&gt;0.5,""yellow"",""red""))})"),"")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1</v>
      </c>
      <c r="D25" s="26" t="b">
        <v>1</v>
      </c>
      <c r="E25" s="26" t="b">
        <v>1</v>
      </c>
      <c r="F25" s="28" t="b">
        <v>1</v>
      </c>
      <c r="G25" s="27" t="b">
        <v>0</v>
      </c>
      <c r="H25" s="26" t="b">
        <v>1</v>
      </c>
      <c r="I25" s="29" t="b">
        <v>0</v>
      </c>
      <c r="J25" s="30"/>
      <c r="K25" s="81" t="str">
        <f t="shared" ref="K25:K35" si="18">B7</f>
        <v>Exercise</v>
      </c>
      <c r="L25" s="26" t="b">
        <v>1</v>
      </c>
      <c r="M25" s="26" t="b">
        <v>0</v>
      </c>
      <c r="N25" s="26" t="b">
        <v>0</v>
      </c>
      <c r="O25" s="26" t="b">
        <v>1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26" t="b">
        <v>1</v>
      </c>
      <c r="W25" s="32" t="b">
        <v>1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1</v>
      </c>
      <c r="E26" s="27" t="b">
        <v>0</v>
      </c>
      <c r="F26" s="26" t="b">
        <v>0</v>
      </c>
      <c r="G26" s="26" t="b">
        <v>1</v>
      </c>
      <c r="H26" s="26" t="b">
        <v>1</v>
      </c>
      <c r="I26" s="32" t="b">
        <v>1</v>
      </c>
      <c r="J26" s="30"/>
      <c r="K26" s="81" t="str">
        <f t="shared" si="18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1</v>
      </c>
      <c r="R26" s="32" t="b">
        <v>1</v>
      </c>
      <c r="T26" s="82" t="s">
        <v>10</v>
      </c>
      <c r="U26" s="26" t="b">
        <v>1</v>
      </c>
      <c r="V26" s="26" t="b">
        <v>1</v>
      </c>
      <c r="W26" s="32" t="b">
        <v>1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6" t="b">
        <v>1</v>
      </c>
      <c r="H27" s="26" t="b">
        <v>1</v>
      </c>
      <c r="I27" s="32" t="b">
        <v>1</v>
      </c>
      <c r="J27" s="30"/>
      <c r="K27" s="81" t="str">
        <f t="shared" si="18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1</v>
      </c>
      <c r="R27" s="32" t="b">
        <v>0</v>
      </c>
      <c r="T27" s="82" t="s">
        <v>12</v>
      </c>
      <c r="U27" s="26" t="b">
        <v>1</v>
      </c>
      <c r="V27" s="26" t="b">
        <v>1</v>
      </c>
      <c r="W27" s="32" t="b">
        <v>1</v>
      </c>
      <c r="Y27" s="82" t="s">
        <v>28</v>
      </c>
      <c r="Z27" s="32" t="b">
        <v>0</v>
      </c>
      <c r="AF27" s="133"/>
      <c r="AG27" s="133"/>
    </row>
    <row r="28">
      <c r="A28" s="127"/>
      <c r="B28" s="82" t="str">
        <f t="shared" si="17"/>
        <v>Eat in</v>
      </c>
      <c r="C28" s="26" t="b">
        <v>1</v>
      </c>
      <c r="D28" s="26" t="b">
        <v>1</v>
      </c>
      <c r="E28" s="26" t="b">
        <v>1</v>
      </c>
      <c r="F28" s="26" t="b">
        <v>1</v>
      </c>
      <c r="G28" s="26" t="b">
        <v>0</v>
      </c>
      <c r="H28" s="26" t="b">
        <v>0</v>
      </c>
      <c r="I28" s="32" t="b">
        <v>1</v>
      </c>
      <c r="J28" s="30"/>
      <c r="K28" s="81" t="str">
        <f t="shared" si="18"/>
        <v>Eat in</v>
      </c>
      <c r="L28" s="26" t="b">
        <v>1</v>
      </c>
      <c r="M28" s="26" t="b">
        <v>1</v>
      </c>
      <c r="N28" s="26" t="b">
        <v>1</v>
      </c>
      <c r="O28" s="26" t="b">
        <v>1</v>
      </c>
      <c r="P28" s="26" t="b">
        <v>0</v>
      </c>
      <c r="Q28" s="26" t="b">
        <v>0</v>
      </c>
      <c r="R28" s="32" t="b">
        <v>0</v>
      </c>
      <c r="T28" s="82" t="s">
        <v>56</v>
      </c>
      <c r="U28" s="26" t="b">
        <v>1</v>
      </c>
      <c r="V28" s="26" t="b">
        <v>1</v>
      </c>
      <c r="W28" s="32" t="b">
        <v>1</v>
      </c>
      <c r="Y28" s="82" t="s">
        <v>47</v>
      </c>
      <c r="Z28" s="32" t="b">
        <v>1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0</v>
      </c>
      <c r="D29" s="26" t="b">
        <v>0</v>
      </c>
      <c r="E29" s="26" t="b">
        <v>1</v>
      </c>
      <c r="F29" s="26" t="b">
        <v>1</v>
      </c>
      <c r="G29" s="26" t="b">
        <v>1</v>
      </c>
      <c r="H29" s="26" t="b">
        <v>0</v>
      </c>
      <c r="I29" s="32" t="b">
        <v>1</v>
      </c>
      <c r="J29" s="30"/>
      <c r="K29" s="95" t="str">
        <f t="shared" si="18"/>
        <v>Review Budget/Goals</v>
      </c>
      <c r="L29" s="26" t="b">
        <v>1</v>
      </c>
      <c r="M29" s="26" t="b">
        <v>0</v>
      </c>
      <c r="N29" s="26" t="b">
        <v>0</v>
      </c>
      <c r="O29" s="26" t="b">
        <v>1</v>
      </c>
      <c r="P29" s="26" t="b">
        <v>0</v>
      </c>
      <c r="Q29" s="26" t="b">
        <v>0</v>
      </c>
      <c r="R29" s="32" t="b">
        <v>1</v>
      </c>
      <c r="T29" s="82" t="s">
        <v>16</v>
      </c>
      <c r="U29" s="26" t="b">
        <v>1</v>
      </c>
      <c r="V29" s="26" t="b">
        <v>1</v>
      </c>
      <c r="W29" s="32" t="b">
        <v>1</v>
      </c>
      <c r="Y29" s="82" t="s">
        <v>30</v>
      </c>
      <c r="Z29" s="32" t="b">
        <v>1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0</v>
      </c>
      <c r="D30" s="26" t="b">
        <v>1</v>
      </c>
      <c r="E30" s="26" t="b">
        <v>1</v>
      </c>
      <c r="F30" s="26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8"/>
        <v>(2x)Brush+(1x)Floss</v>
      </c>
      <c r="L30" s="26" t="b">
        <v>0</v>
      </c>
      <c r="M30" s="26" t="b">
        <v>0</v>
      </c>
      <c r="N30" s="26" t="b">
        <v>1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26" t="b">
        <v>1</v>
      </c>
      <c r="W30" s="32" t="b">
        <v>1</v>
      </c>
      <c r="Y30" s="82" t="s">
        <v>32</v>
      </c>
      <c r="Z30" s="32" t="b">
        <v>1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0</v>
      </c>
      <c r="E31" s="26" t="b">
        <v>0</v>
      </c>
      <c r="F31" s="26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26" t="b">
        <v>1</v>
      </c>
      <c r="W31" s="32" t="b">
        <v>1</v>
      </c>
      <c r="Y31" s="85" t="s">
        <v>34</v>
      </c>
      <c r="Z31" s="32" t="b">
        <v>1</v>
      </c>
      <c r="AF31" s="145"/>
      <c r="AG31" s="145"/>
    </row>
    <row r="32">
      <c r="A32" s="127"/>
      <c r="B32" s="82" t="str">
        <f t="shared" si="17"/>
        <v>7 hours sleep</v>
      </c>
      <c r="C32" s="26" t="b">
        <v>1</v>
      </c>
      <c r="D32" s="26" t="b">
        <v>0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0</v>
      </c>
      <c r="J32" s="30"/>
      <c r="K32" s="81" t="str">
        <f t="shared" si="18"/>
        <v>7 hours sleep</v>
      </c>
      <c r="L32" s="26" t="b">
        <v>1</v>
      </c>
      <c r="M32" s="26" t="b">
        <v>1</v>
      </c>
      <c r="N32" s="26" t="b">
        <v>1</v>
      </c>
      <c r="O32" s="26" t="b">
        <v>0</v>
      </c>
      <c r="P32" s="26" t="b">
        <v>1</v>
      </c>
      <c r="Q32" s="26" t="b">
        <v>0</v>
      </c>
      <c r="R32" s="32" t="b">
        <v>0</v>
      </c>
      <c r="T32" s="82" t="s">
        <v>22</v>
      </c>
      <c r="U32" s="26" t="b">
        <v>1</v>
      </c>
      <c r="V32" s="26" t="b">
        <v>0</v>
      </c>
      <c r="W32" s="32" t="b">
        <v>1</v>
      </c>
      <c r="Y32" s="91" t="s">
        <v>27</v>
      </c>
      <c r="Z32" s="92">
        <f>COUNTIF(Z27:Z31,True)/COUNTA(Z27:Z31)</f>
        <v>0.8</v>
      </c>
      <c r="AF32" s="71"/>
      <c r="AG32" s="71"/>
    </row>
    <row r="33">
      <c r="A33" s="127"/>
      <c r="B33" s="82" t="str">
        <f t="shared" si="17"/>
        <v>Clean (~20 min)</v>
      </c>
      <c r="C33" s="26" t="b">
        <v>1</v>
      </c>
      <c r="D33" s="26" t="b">
        <v>0</v>
      </c>
      <c r="E33" s="26" t="b">
        <v>1</v>
      </c>
      <c r="F33" s="26" t="b">
        <v>0</v>
      </c>
      <c r="G33" s="26" t="b">
        <v>0</v>
      </c>
      <c r="H33" s="26" t="b">
        <v>0</v>
      </c>
      <c r="I33" s="32" t="b">
        <v>1</v>
      </c>
      <c r="J33" s="30"/>
      <c r="K33" s="81" t="str">
        <f t="shared" si="18"/>
        <v>Clean (~20 min)</v>
      </c>
      <c r="L33" s="26" t="b">
        <v>1</v>
      </c>
      <c r="M33" s="26" t="b">
        <v>0</v>
      </c>
      <c r="N33" s="26" t="b">
        <v>1</v>
      </c>
      <c r="O33" s="26" t="b">
        <v>0</v>
      </c>
      <c r="P33" s="26" t="b">
        <v>1</v>
      </c>
      <c r="Q33" s="26" t="b">
        <v>0</v>
      </c>
      <c r="R33" s="32" t="b">
        <v>0</v>
      </c>
      <c r="T33" s="85" t="s">
        <v>24</v>
      </c>
      <c r="U33" s="38" t="b">
        <v>0</v>
      </c>
      <c r="V33" s="38" t="b">
        <v>0</v>
      </c>
      <c r="W33" s="32" t="b">
        <v>0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1</v>
      </c>
      <c r="D34" s="26" t="b">
        <v>1</v>
      </c>
      <c r="E34" s="26" t="b">
        <v>1</v>
      </c>
      <c r="F34" s="26" t="b">
        <v>1</v>
      </c>
      <c r="G34" s="26" t="b">
        <v>1</v>
      </c>
      <c r="H34" s="26" t="b">
        <v>1</v>
      </c>
      <c r="I34" s="32" t="b">
        <v>0</v>
      </c>
      <c r="J34" s="30"/>
      <c r="K34" s="81" t="str">
        <f t="shared" si="18"/>
        <v>Read (~20 min)</v>
      </c>
      <c r="L34" s="26" t="b">
        <v>1</v>
      </c>
      <c r="M34" s="26" t="b">
        <v>1</v>
      </c>
      <c r="N34" s="26" t="b">
        <v>1</v>
      </c>
      <c r="O34" s="26" t="b">
        <v>0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W34" si="19">COUNTIF(U24:U33,True)/COUNTA(U24:U33)</f>
        <v>0.9</v>
      </c>
      <c r="V34" s="68">
        <f t="shared" si="19"/>
        <v>0.8</v>
      </c>
      <c r="W34" s="146">
        <f t="shared" si="19"/>
        <v>0.9</v>
      </c>
    </row>
    <row r="35">
      <c r="A35" s="133"/>
      <c r="B35" s="81" t="str">
        <f t="shared" si="17"/>
        <v>Vitamins</v>
      </c>
      <c r="C35" s="26" t="b">
        <v>1</v>
      </c>
      <c r="D35" s="26" t="b">
        <v>1</v>
      </c>
      <c r="E35" s="26" t="b">
        <v>1</v>
      </c>
      <c r="F35" s="26" t="b">
        <v>1</v>
      </c>
      <c r="G35" s="26" t="b">
        <v>1</v>
      </c>
      <c r="H35" s="26" t="b">
        <v>1</v>
      </c>
      <c r="I35" s="32" t="b">
        <v>1</v>
      </c>
      <c r="J35" s="30"/>
      <c r="K35" s="81" t="str">
        <f t="shared" si="18"/>
        <v>Vitamins</v>
      </c>
      <c r="L35" s="26" t="b">
        <v>1</v>
      </c>
      <c r="M35" s="26" t="b">
        <v>1</v>
      </c>
      <c r="N35" s="26" t="b">
        <v>1</v>
      </c>
      <c r="O35" s="26" t="b">
        <v>0</v>
      </c>
      <c r="P35" s="26" t="b">
        <v>0</v>
      </c>
      <c r="Q35" s="26" t="b">
        <v>0</v>
      </c>
      <c r="R35" s="32" t="b">
        <v>1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0.5833333333</v>
      </c>
      <c r="D37" s="44">
        <f t="shared" si="20"/>
        <v>0.5833333333</v>
      </c>
      <c r="E37" s="44">
        <f t="shared" si="20"/>
        <v>0.75</v>
      </c>
      <c r="F37" s="44">
        <f t="shared" si="20"/>
        <v>0.5833333333</v>
      </c>
      <c r="G37" s="44">
        <f t="shared" si="20"/>
        <v>0.5</v>
      </c>
      <c r="H37" s="44">
        <f t="shared" si="20"/>
        <v>0.5</v>
      </c>
      <c r="I37" s="45">
        <f t="shared" si="20"/>
        <v>0.5</v>
      </c>
      <c r="J37" s="21"/>
      <c r="K37" s="134" t="s">
        <v>27</v>
      </c>
      <c r="L37" s="135">
        <f t="shared" ref="L37:R37" si="21">COUNTIF(L25:L36,True)/COUNTA(L25:L36)</f>
        <v>0.6666666667</v>
      </c>
      <c r="M37" s="135">
        <f t="shared" si="21"/>
        <v>0.4166666667</v>
      </c>
      <c r="N37" s="135">
        <f t="shared" si="21"/>
        <v>0.5833333333</v>
      </c>
      <c r="O37" s="135">
        <f t="shared" si="21"/>
        <v>0.3333333333</v>
      </c>
      <c r="P37" s="135">
        <f t="shared" si="21"/>
        <v>0.25</v>
      </c>
      <c r="Q37" s="135">
        <f t="shared" si="21"/>
        <v>0.1666666667</v>
      </c>
      <c r="R37" s="135">
        <f t="shared" si="21"/>
        <v>0.25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45597.0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October2024!AF8+1</f>
        <v>45600</v>
      </c>
      <c r="D5" s="98">
        <f t="shared" ref="D5:I5" si="1">C5+1</f>
        <v>45601</v>
      </c>
      <c r="E5" s="98">
        <f t="shared" si="1"/>
        <v>45602</v>
      </c>
      <c r="F5" s="98">
        <f t="shared" si="1"/>
        <v>45603</v>
      </c>
      <c r="G5" s="98">
        <f t="shared" si="1"/>
        <v>45604</v>
      </c>
      <c r="H5" s="98">
        <f t="shared" si="1"/>
        <v>45605</v>
      </c>
      <c r="I5" s="125">
        <f t="shared" si="1"/>
        <v>45606</v>
      </c>
      <c r="J5" s="17"/>
      <c r="K5" s="126" t="s">
        <v>2</v>
      </c>
      <c r="L5" s="98">
        <f>I5+1</f>
        <v>45607</v>
      </c>
      <c r="M5" s="98">
        <f t="shared" ref="M5:R5" si="2">L5+1</f>
        <v>45608</v>
      </c>
      <c r="N5" s="98">
        <f t="shared" si="2"/>
        <v>45609</v>
      </c>
      <c r="O5" s="98">
        <f t="shared" si="2"/>
        <v>45610</v>
      </c>
      <c r="P5" s="98">
        <f t="shared" si="2"/>
        <v>45611</v>
      </c>
      <c r="Q5" s="98">
        <f t="shared" si="2"/>
        <v>45612</v>
      </c>
      <c r="R5" s="125">
        <f t="shared" si="2"/>
        <v>45613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1</v>
      </c>
      <c r="E7" s="26" t="b">
        <v>0</v>
      </c>
      <c r="F7" s="28" t="b">
        <v>1</v>
      </c>
      <c r="G7" s="26" t="b">
        <v>0</v>
      </c>
      <c r="H7" s="26" t="b">
        <v>1</v>
      </c>
      <c r="I7" s="32" t="b">
        <v>0</v>
      </c>
      <c r="J7" s="30"/>
      <c r="K7" s="81" t="str">
        <f t="shared" ref="K7:K18" si="5">B7</f>
        <v>Exercise</v>
      </c>
      <c r="L7" s="26" t="b">
        <v>1</v>
      </c>
      <c r="M7" s="26" t="b">
        <v>1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0.317037037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140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1</v>
      </c>
      <c r="I9" s="32" t="b">
        <v>0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1</v>
      </c>
      <c r="V9" s="32" t="b">
        <v>1</v>
      </c>
      <c r="X9" s="131">
        <f>X8 + October2024!AB4</f>
        <v>2727</v>
      </c>
    </row>
    <row r="10">
      <c r="A10" s="128"/>
      <c r="B10" s="79" t="s">
        <v>11</v>
      </c>
      <c r="C10" s="26" t="b">
        <v>0</v>
      </c>
      <c r="D10" s="26" t="b">
        <v>1</v>
      </c>
      <c r="E10" s="26" t="b">
        <v>1</v>
      </c>
      <c r="F10" s="26" t="b">
        <v>0</v>
      </c>
      <c r="G10" s="26" t="b">
        <v>1</v>
      </c>
      <c r="H10" s="26" t="b">
        <v>0</v>
      </c>
      <c r="I10" s="32" t="b">
        <v>1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1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1</v>
      </c>
      <c r="D11" s="26" t="b">
        <v>0</v>
      </c>
      <c r="E11" s="26" t="b">
        <v>0</v>
      </c>
      <c r="F11" s="26" t="b">
        <v>1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1</v>
      </c>
      <c r="O11" s="26" t="b">
        <v>1</v>
      </c>
      <c r="P11" s="26" t="b">
        <v>1</v>
      </c>
      <c r="Q11" s="26" t="b">
        <v>0</v>
      </c>
      <c r="R11" s="32" t="b">
        <v>0</v>
      </c>
      <c r="T11" s="82" t="s">
        <v>10</v>
      </c>
      <c r="U11" s="26" t="b">
        <v>1</v>
      </c>
      <c r="V11" s="32" t="b">
        <v>0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1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0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1</v>
      </c>
      <c r="V13" s="32" t="b">
        <v>0</v>
      </c>
    </row>
    <row r="14">
      <c r="A14" s="128"/>
      <c r="B14" s="79" t="s">
        <v>19</v>
      </c>
      <c r="C14" s="26" t="b">
        <v>1</v>
      </c>
      <c r="D14" s="26" t="b">
        <v>1</v>
      </c>
      <c r="E14" s="26" t="b">
        <v>0</v>
      </c>
      <c r="F14" s="26" t="b">
        <v>1</v>
      </c>
      <c r="G14" s="26" t="b">
        <v>0</v>
      </c>
      <c r="H14" s="26" t="b">
        <v>1</v>
      </c>
      <c r="I14" s="32" t="b">
        <v>0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1</v>
      </c>
      <c r="P14" s="26" t="b">
        <v>1</v>
      </c>
      <c r="Q14" s="26" t="b">
        <v>0</v>
      </c>
      <c r="R14" s="32" t="b">
        <v>0</v>
      </c>
      <c r="T14" s="82" t="s">
        <v>16</v>
      </c>
      <c r="U14" s="26" t="b">
        <v>1</v>
      </c>
      <c r="V14" s="32" t="b">
        <v>0</v>
      </c>
    </row>
    <row r="15">
      <c r="A15" s="128"/>
      <c r="B15" s="79" t="s">
        <v>21</v>
      </c>
      <c r="C15" s="26" t="b">
        <v>1</v>
      </c>
      <c r="D15" s="26" t="b">
        <v>0</v>
      </c>
      <c r="E15" s="26" t="b">
        <v>1</v>
      </c>
      <c r="F15" s="26" t="b">
        <v>0</v>
      </c>
      <c r="G15" s="26" t="b">
        <v>0</v>
      </c>
      <c r="H15" s="26" t="b">
        <v>1</v>
      </c>
      <c r="I15" s="32" t="b">
        <v>1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1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1</v>
      </c>
      <c r="V15" s="32" t="b">
        <v>1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1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1</v>
      </c>
      <c r="D17" s="26" t="b">
        <v>1</v>
      </c>
      <c r="E17" s="26" t="b">
        <v>1</v>
      </c>
      <c r="F17" s="26" t="b">
        <v>0</v>
      </c>
      <c r="G17" s="26" t="b">
        <v>0</v>
      </c>
      <c r="H17" s="26" t="b">
        <v>0</v>
      </c>
      <c r="I17" s="32" t="b">
        <v>1</v>
      </c>
      <c r="J17" s="30"/>
      <c r="K17" s="81" t="str">
        <f t="shared" si="5"/>
        <v>Vitamins</v>
      </c>
      <c r="L17" s="26" t="b">
        <v>1</v>
      </c>
      <c r="M17" s="26" t="b">
        <v>0</v>
      </c>
      <c r="N17" s="26" t="b">
        <v>1</v>
      </c>
      <c r="O17" s="26" t="b">
        <v>1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1</v>
      </c>
      <c r="V17" s="32" t="b">
        <v>1</v>
      </c>
      <c r="X17" s="82" t="s">
        <v>28</v>
      </c>
      <c r="Y17" s="32" t="b">
        <v>1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0.4166666667</v>
      </c>
      <c r="D19" s="44">
        <f t="shared" si="6"/>
        <v>0.4166666667</v>
      </c>
      <c r="E19" s="44">
        <f t="shared" si="6"/>
        <v>0.4166666667</v>
      </c>
      <c r="F19" s="44">
        <f t="shared" si="6"/>
        <v>0.3333333333</v>
      </c>
      <c r="G19" s="44">
        <f t="shared" si="6"/>
        <v>0.1666666667</v>
      </c>
      <c r="H19" s="44">
        <f t="shared" si="6"/>
        <v>0.3333333333</v>
      </c>
      <c r="I19" s="45">
        <f t="shared" si="6"/>
        <v>0.25</v>
      </c>
      <c r="J19" s="21"/>
      <c r="K19" s="89" t="s">
        <v>27</v>
      </c>
      <c r="L19" s="44">
        <f t="shared" ref="L19:R19" si="7">COUNTIF(L7:L18,True)/COUNTA(L7:L18)</f>
        <v>0.4166666667</v>
      </c>
      <c r="M19" s="44">
        <f t="shared" si="7"/>
        <v>0.3333333333</v>
      </c>
      <c r="N19" s="44">
        <f t="shared" si="7"/>
        <v>0.5833333333</v>
      </c>
      <c r="O19" s="44">
        <f t="shared" si="7"/>
        <v>0.25</v>
      </c>
      <c r="P19" s="44">
        <f t="shared" si="7"/>
        <v>0.1666666667</v>
      </c>
      <c r="Q19" s="44">
        <f t="shared" si="7"/>
        <v>0</v>
      </c>
      <c r="R19" s="44">
        <f t="shared" si="7"/>
        <v>0</v>
      </c>
      <c r="T19" s="88" t="s">
        <v>27</v>
      </c>
      <c r="U19" s="44">
        <f t="shared" ref="U19:V19" si="8">COUNTIF(U9:U18,True)/COUNTA(U9:U18)</f>
        <v>0.8</v>
      </c>
      <c r="V19" s="45">
        <f t="shared" si="8"/>
        <v>0.5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0.6</v>
      </c>
      <c r="Z22" s="56"/>
      <c r="AA22" s="56"/>
    </row>
    <row r="23">
      <c r="A23" s="127"/>
      <c r="B23" s="107" t="s">
        <v>35</v>
      </c>
      <c r="C23" s="97">
        <f>R5+1</f>
        <v>45614</v>
      </c>
      <c r="D23" s="108">
        <f t="shared" ref="D23:I23" si="9">C23+1</f>
        <v>45615</v>
      </c>
      <c r="E23" s="108">
        <f t="shared" si="9"/>
        <v>45616</v>
      </c>
      <c r="F23" s="108">
        <f t="shared" si="9"/>
        <v>45617</v>
      </c>
      <c r="G23" s="108">
        <f t="shared" si="9"/>
        <v>45618</v>
      </c>
      <c r="H23" s="108">
        <f t="shared" si="9"/>
        <v>45619</v>
      </c>
      <c r="I23" s="111">
        <f t="shared" si="9"/>
        <v>45620</v>
      </c>
      <c r="J23" s="52"/>
      <c r="K23" s="110" t="s">
        <v>36</v>
      </c>
      <c r="L23" s="108">
        <f>I23+1</f>
        <v>45621</v>
      </c>
      <c r="M23" s="108">
        <f t="shared" ref="M23:R23" si="10">L23+1</f>
        <v>45622</v>
      </c>
      <c r="N23" s="108">
        <f t="shared" si="10"/>
        <v>45623</v>
      </c>
      <c r="O23" s="108">
        <f t="shared" si="10"/>
        <v>45624</v>
      </c>
      <c r="P23" s="108">
        <f t="shared" si="10"/>
        <v>45625</v>
      </c>
      <c r="Q23" s="108">
        <f t="shared" si="10"/>
        <v>45626</v>
      </c>
      <c r="R23" s="111">
        <f t="shared" si="10"/>
        <v>45627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1</v>
      </c>
      <c r="E25" s="26" t="b">
        <v>1</v>
      </c>
      <c r="F25" s="28" t="b">
        <v>1</v>
      </c>
      <c r="G25" s="26" t="b">
        <v>0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0</v>
      </c>
      <c r="V26" s="32" t="b">
        <v>0</v>
      </c>
    </row>
    <row r="27">
      <c r="A27" s="127"/>
      <c r="B27" s="82" t="str">
        <f t="shared" si="13"/>
        <v>Social Media (&lt;limit)</v>
      </c>
      <c r="C27" s="26" t="b">
        <v>0</v>
      </c>
      <c r="D27" s="26" t="b">
        <v>1</v>
      </c>
      <c r="E27" s="26" t="b">
        <v>0</v>
      </c>
      <c r="F27" s="28" t="b">
        <v>1</v>
      </c>
      <c r="G27" s="26" t="b">
        <v>1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0</v>
      </c>
      <c r="O27" s="26" t="b">
        <v>1</v>
      </c>
      <c r="P27" s="26" t="b">
        <v>1</v>
      </c>
      <c r="Q27" s="26" t="b">
        <v>0</v>
      </c>
      <c r="R27" s="29" t="b">
        <v>0</v>
      </c>
      <c r="T27" s="82" t="s">
        <v>12</v>
      </c>
      <c r="U27" s="26" t="b">
        <v>0</v>
      </c>
      <c r="V27" s="32" t="b">
        <v>0</v>
      </c>
    </row>
    <row r="28">
      <c r="A28" s="127"/>
      <c r="B28" s="82" t="str">
        <f t="shared" si="13"/>
        <v>Eat in</v>
      </c>
      <c r="C28" s="26" t="b">
        <v>1</v>
      </c>
      <c r="D28" s="26" t="b">
        <v>1</v>
      </c>
      <c r="E28" s="26" t="b">
        <v>1</v>
      </c>
      <c r="F28" s="27" t="b">
        <v>0</v>
      </c>
      <c r="G28" s="26" t="b">
        <v>0</v>
      </c>
      <c r="H28" s="26" t="b">
        <v>0</v>
      </c>
      <c r="I28" s="29" t="b">
        <v>0</v>
      </c>
      <c r="J28" s="30"/>
      <c r="K28" s="81" t="str">
        <f t="shared" si="14"/>
        <v>Eat in</v>
      </c>
      <c r="L28" s="26" t="b">
        <v>1</v>
      </c>
      <c r="M28" s="26" t="b">
        <v>1</v>
      </c>
      <c r="N28" s="26" t="b">
        <v>0</v>
      </c>
      <c r="O28" s="26" t="b">
        <v>1</v>
      </c>
      <c r="P28" s="26" t="b">
        <v>0</v>
      </c>
      <c r="Q28" s="26" t="b">
        <v>0</v>
      </c>
      <c r="R28" s="29" t="b">
        <v>0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0</v>
      </c>
      <c r="E29" s="26" t="b">
        <v>0</v>
      </c>
      <c r="F29" s="27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29" t="b">
        <v>0</v>
      </c>
      <c r="T29" s="82" t="s">
        <v>16</v>
      </c>
      <c r="U29" s="26" t="b">
        <v>0</v>
      </c>
      <c r="V29" s="32" t="b">
        <v>0</v>
      </c>
    </row>
    <row r="30">
      <c r="A30" s="127"/>
      <c r="B30" s="82" t="str">
        <f t="shared" si="13"/>
        <v>(2x)Brush+(1x)Floss</v>
      </c>
      <c r="C30" s="26" t="b">
        <v>0</v>
      </c>
      <c r="D30" s="26" t="b">
        <v>0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32" t="b">
        <v>0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0</v>
      </c>
      <c r="V31" s="32" t="b">
        <v>0</v>
      </c>
    </row>
    <row r="32">
      <c r="A32" s="127"/>
      <c r="B32" s="82" t="str">
        <f t="shared" si="13"/>
        <v>7 hours sleep</v>
      </c>
      <c r="C32" s="26" t="b">
        <v>0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0</v>
      </c>
      <c r="I32" s="32" t="b">
        <v>0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1</v>
      </c>
      <c r="O32" s="26" t="b">
        <v>1</v>
      </c>
      <c r="P32" s="26" t="b">
        <v>1</v>
      </c>
      <c r="Q32" s="26" t="b">
        <v>0</v>
      </c>
      <c r="R32" s="29" t="b">
        <v>0</v>
      </c>
      <c r="T32" s="82" t="s">
        <v>22</v>
      </c>
      <c r="U32" s="26" t="b">
        <v>0</v>
      </c>
      <c r="V32" s="32" t="b">
        <v>0</v>
      </c>
    </row>
    <row r="33">
      <c r="A33" s="127"/>
      <c r="B33" s="82" t="str">
        <f t="shared" si="13"/>
        <v>Clean (~20 min)</v>
      </c>
      <c r="C33" s="26" t="b">
        <v>0</v>
      </c>
      <c r="D33" s="26" t="b">
        <v>0</v>
      </c>
      <c r="E33" s="26" t="b">
        <v>0</v>
      </c>
      <c r="F33" s="27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4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29" t="b">
        <v>0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0</v>
      </c>
      <c r="D34" s="26" t="b">
        <v>0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0.2</v>
      </c>
      <c r="V34" s="69">
        <f t="shared" si="15"/>
        <v>0.2</v>
      </c>
    </row>
    <row r="35">
      <c r="A35" s="133"/>
      <c r="B35" s="81" t="str">
        <f t="shared" si="13"/>
        <v>Vitamins</v>
      </c>
      <c r="C35" s="26" t="b">
        <v>0</v>
      </c>
      <c r="D35" s="26" t="b">
        <v>0</v>
      </c>
      <c r="E35" s="27" t="b">
        <v>0</v>
      </c>
      <c r="F35" s="27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4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29" t="b">
        <v>0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38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0.08333333333</v>
      </c>
      <c r="D37" s="44">
        <f t="shared" si="16"/>
        <v>0.3333333333</v>
      </c>
      <c r="E37" s="44">
        <f t="shared" si="16"/>
        <v>0.25</v>
      </c>
      <c r="F37" s="44">
        <f t="shared" si="16"/>
        <v>0.25</v>
      </c>
      <c r="G37" s="44">
        <f t="shared" si="16"/>
        <v>0.1666666667</v>
      </c>
      <c r="H37" s="44">
        <f t="shared" si="16"/>
        <v>0</v>
      </c>
      <c r="I37" s="45">
        <f t="shared" si="16"/>
        <v>0</v>
      </c>
      <c r="J37" s="21"/>
      <c r="K37" s="89" t="s">
        <v>27</v>
      </c>
      <c r="L37" s="44">
        <f t="shared" ref="L37:R37" si="17">COUNTIF(L25:L36,True)/COUNTA(L25:L36)</f>
        <v>0.25</v>
      </c>
      <c r="M37" s="44">
        <f t="shared" si="17"/>
        <v>0.25</v>
      </c>
      <c r="N37" s="44">
        <f t="shared" si="17"/>
        <v>0.08333333333</v>
      </c>
      <c r="O37" s="44">
        <f t="shared" si="17"/>
        <v>0.25</v>
      </c>
      <c r="P37" s="44">
        <f t="shared" si="17"/>
        <v>0.1666666667</v>
      </c>
      <c r="Q37" s="44">
        <f t="shared" si="17"/>
        <v>0</v>
      </c>
      <c r="R37" s="44">
        <f t="shared" si="17"/>
        <v>0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0.4045454545</v>
      </c>
    </row>
    <row r="3">
      <c r="A3" s="120"/>
      <c r="B3" s="8">
        <v>45627.0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225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November2024!X9</f>
        <v>2952</v>
      </c>
    </row>
    <row r="5">
      <c r="A5" s="124"/>
      <c r="B5" s="96" t="s">
        <v>1</v>
      </c>
      <c r="C5" s="97">
        <f>November2024!R23+1</f>
        <v>45628</v>
      </c>
      <c r="D5" s="98">
        <f t="shared" ref="D5:I5" si="1">C5+1</f>
        <v>45629</v>
      </c>
      <c r="E5" s="98">
        <f t="shared" si="1"/>
        <v>45630</v>
      </c>
      <c r="F5" s="98">
        <f t="shared" si="1"/>
        <v>45631</v>
      </c>
      <c r="G5" s="98">
        <f t="shared" si="1"/>
        <v>45632</v>
      </c>
      <c r="H5" s="98">
        <f t="shared" si="1"/>
        <v>45633</v>
      </c>
      <c r="I5" s="125">
        <f t="shared" si="1"/>
        <v>45634</v>
      </c>
      <c r="J5" s="17"/>
      <c r="K5" s="126" t="s">
        <v>2</v>
      </c>
      <c r="L5" s="98">
        <f>I5+1</f>
        <v>45635</v>
      </c>
      <c r="M5" s="98">
        <f t="shared" ref="M5:R5" si="2">L5+1</f>
        <v>45636</v>
      </c>
      <c r="N5" s="98">
        <f t="shared" si="2"/>
        <v>45637</v>
      </c>
      <c r="O5" s="98">
        <f t="shared" si="2"/>
        <v>45638</v>
      </c>
      <c r="P5" s="98">
        <f t="shared" si="2"/>
        <v>45639</v>
      </c>
      <c r="Q5" s="98">
        <f t="shared" si="2"/>
        <v>45640</v>
      </c>
      <c r="R5" s="125">
        <f t="shared" si="2"/>
        <v>45641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1</v>
      </c>
      <c r="E7" s="26" t="b">
        <v>0</v>
      </c>
      <c r="F7" s="28" t="b">
        <v>1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1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45656</v>
      </c>
      <c r="AA8" s="108">
        <f t="shared" ref="AA8:AF8" si="6">Z8+1</f>
        <v>45657</v>
      </c>
      <c r="AB8" s="108">
        <f t="shared" si="6"/>
        <v>45658</v>
      </c>
      <c r="AC8" s="108">
        <f t="shared" si="6"/>
        <v>45659</v>
      </c>
      <c r="AD8" s="108">
        <f t="shared" si="6"/>
        <v>45660</v>
      </c>
      <c r="AE8" s="108">
        <f t="shared" si="6"/>
        <v>45661</v>
      </c>
      <c r="AF8" s="111">
        <f t="shared" si="6"/>
        <v>45662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0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0</v>
      </c>
      <c r="R9" s="32" t="b">
        <v>0</v>
      </c>
      <c r="T9" s="82" t="s">
        <v>6</v>
      </c>
      <c r="U9" s="26" t="b">
        <v>1</v>
      </c>
      <c r="V9" s="32" t="b">
        <v>1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1</v>
      </c>
      <c r="H10" s="26" t="b">
        <v>1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0</v>
      </c>
      <c r="N10" s="26" t="b">
        <v>1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1</v>
      </c>
      <c r="Y10" s="81" t="str">
        <f t="shared" ref="Y10:Y20" si="8">K7</f>
        <v>Exercise</v>
      </c>
      <c r="Z10" s="26" t="b">
        <v>1</v>
      </c>
      <c r="AA10" s="26" t="b">
        <v>0</v>
      </c>
      <c r="AB10" s="26" t="b">
        <v>0</v>
      </c>
      <c r="AC10" s="26" t="b">
        <v>0</v>
      </c>
      <c r="AD10" s="26" t="b">
        <v>0</v>
      </c>
      <c r="AE10" s="26" t="b">
        <v>1</v>
      </c>
      <c r="AF10" s="29" t="b">
        <v>0</v>
      </c>
      <c r="AG10" s="133"/>
    </row>
    <row r="11">
      <c r="A11" s="132"/>
      <c r="B11" s="95" t="s">
        <v>13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1</v>
      </c>
      <c r="M11" s="26" t="b">
        <v>0</v>
      </c>
      <c r="N11" s="26" t="b">
        <v>0</v>
      </c>
      <c r="O11" s="26" t="b">
        <v>0</v>
      </c>
      <c r="P11" s="26" t="b">
        <v>0</v>
      </c>
      <c r="Q11" s="26" t="b">
        <v>1</v>
      </c>
      <c r="R11" s="32" t="b">
        <v>0</v>
      </c>
      <c r="T11" s="82" t="s">
        <v>10</v>
      </c>
      <c r="U11" s="26" t="b">
        <v>1</v>
      </c>
      <c r="V11" s="32" t="b">
        <v>1</v>
      </c>
      <c r="Y11" s="81" t="str">
        <f t="shared" si="8"/>
        <v>Stretch/Yoga (&gt;20min)</v>
      </c>
      <c r="Z11" s="26" t="b">
        <v>1</v>
      </c>
      <c r="AA11" s="26" t="b">
        <v>1</v>
      </c>
      <c r="AB11" s="26" t="b">
        <v>1</v>
      </c>
      <c r="AC11" s="26" t="b">
        <v>0</v>
      </c>
      <c r="AD11" s="26" t="b">
        <v>0</v>
      </c>
      <c r="AE11" s="26" t="b">
        <v>0</v>
      </c>
      <c r="AF11" s="32" t="b">
        <v>0</v>
      </c>
      <c r="AG11" s="133"/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1</v>
      </c>
      <c r="Y12" s="81" t="str">
        <f t="shared" si="8"/>
        <v>Social Media (&lt;limit)</v>
      </c>
      <c r="Z12" s="26" t="b">
        <v>0</v>
      </c>
      <c r="AA12" s="26" t="b">
        <v>0</v>
      </c>
      <c r="AB12" s="26" t="b">
        <v>0</v>
      </c>
      <c r="AC12" s="26" t="b">
        <v>0</v>
      </c>
      <c r="AD12" s="26" t="b">
        <v>1</v>
      </c>
      <c r="AE12" s="26" t="b">
        <v>1</v>
      </c>
      <c r="AF12" s="32" t="b">
        <v>1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1</v>
      </c>
      <c r="V13" s="32" t="b">
        <v>1</v>
      </c>
      <c r="Y13" s="81" t="str">
        <f t="shared" si="8"/>
        <v>Eat in</v>
      </c>
      <c r="Z13" s="26" t="b">
        <v>0</v>
      </c>
      <c r="AA13" s="26" t="b">
        <v>1</v>
      </c>
      <c r="AB13" s="26" t="b">
        <v>1</v>
      </c>
      <c r="AC13" s="26" t="b">
        <v>0</v>
      </c>
      <c r="AD13" s="26" t="b">
        <v>0</v>
      </c>
      <c r="AE13" s="26" t="b">
        <v>0</v>
      </c>
      <c r="AF13" s="32" t="b">
        <v>1</v>
      </c>
      <c r="AG13" s="133"/>
    </row>
    <row r="14">
      <c r="A14" s="128"/>
      <c r="B14" s="79" t="s">
        <v>19</v>
      </c>
      <c r="C14" s="26" t="b">
        <v>1</v>
      </c>
      <c r="D14" s="26" t="b">
        <v>1</v>
      </c>
      <c r="E14" s="26" t="b">
        <v>1</v>
      </c>
      <c r="F14" s="26" t="b">
        <v>1</v>
      </c>
      <c r="G14" s="26" t="b">
        <v>1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1</v>
      </c>
      <c r="P14" s="26" t="b">
        <v>0</v>
      </c>
      <c r="Q14" s="26" t="b">
        <v>1</v>
      </c>
      <c r="R14" s="32" t="b">
        <v>0</v>
      </c>
      <c r="T14" s="82" t="s">
        <v>16</v>
      </c>
      <c r="U14" s="26" t="b">
        <v>1</v>
      </c>
      <c r="V14" s="32" t="b">
        <v>1</v>
      </c>
      <c r="Y14" s="95" t="str">
        <f t="shared" si="8"/>
        <v>Review Budget/Goals</v>
      </c>
      <c r="Z14" s="26" t="b">
        <v>0</v>
      </c>
      <c r="AA14" s="26" t="b">
        <v>1</v>
      </c>
      <c r="AB14" s="26" t="b">
        <v>0</v>
      </c>
      <c r="AC14" s="26" t="b">
        <v>1</v>
      </c>
      <c r="AD14" s="26" t="b">
        <v>0</v>
      </c>
      <c r="AE14" s="26" t="b">
        <v>0</v>
      </c>
      <c r="AF14" s="32" t="b">
        <v>0</v>
      </c>
      <c r="AG14" s="133"/>
    </row>
    <row r="15">
      <c r="A15" s="128"/>
      <c r="B15" s="79" t="s">
        <v>21</v>
      </c>
      <c r="C15" s="26" t="b">
        <v>1</v>
      </c>
      <c r="D15" s="26" t="b">
        <v>0</v>
      </c>
      <c r="E15" s="26" t="b">
        <v>0</v>
      </c>
      <c r="F15" s="26" t="b">
        <v>0</v>
      </c>
      <c r="G15" s="26" t="b">
        <v>1</v>
      </c>
      <c r="H15" s="26" t="b">
        <v>1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1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1</v>
      </c>
      <c r="V15" s="32" t="b">
        <v>1</v>
      </c>
      <c r="Y15" s="81" t="str">
        <f t="shared" si="8"/>
        <v>(2x)Brush+(1x)Floss</v>
      </c>
      <c r="Z15" s="26" t="b">
        <v>0</v>
      </c>
      <c r="AA15" s="26" t="b">
        <v>0</v>
      </c>
      <c r="AB15" s="26" t="b">
        <v>0</v>
      </c>
      <c r="AC15" s="26" t="b">
        <v>0</v>
      </c>
      <c r="AD15" s="26" t="b">
        <v>0</v>
      </c>
      <c r="AE15" s="26" t="b">
        <v>0</v>
      </c>
      <c r="AF15" s="32" t="b">
        <v>0</v>
      </c>
      <c r="AG15" s="133"/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1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0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0</v>
      </c>
      <c r="D17" s="26" t="b">
        <v>1</v>
      </c>
      <c r="E17" s="26" t="b">
        <v>1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1</v>
      </c>
      <c r="M17" s="26" t="b">
        <v>1</v>
      </c>
      <c r="N17" s="26" t="b">
        <v>0</v>
      </c>
      <c r="O17" s="26" t="b">
        <v>0</v>
      </c>
      <c r="P17" s="26" t="b">
        <v>1</v>
      </c>
      <c r="Q17" s="26" t="b">
        <v>0</v>
      </c>
      <c r="R17" s="32" t="b">
        <v>0</v>
      </c>
      <c r="T17" s="82" t="s">
        <v>22</v>
      </c>
      <c r="U17" s="26" t="b">
        <v>1</v>
      </c>
      <c r="V17" s="32" t="b">
        <v>0</v>
      </c>
      <c r="Y17" s="81" t="str">
        <f t="shared" si="8"/>
        <v>7 hours sleep</v>
      </c>
      <c r="Z17" s="26" t="b">
        <v>1</v>
      </c>
      <c r="AA17" s="26" t="b">
        <v>1</v>
      </c>
      <c r="AB17" s="26" t="b">
        <v>1</v>
      </c>
      <c r="AC17" s="26" t="b">
        <v>1</v>
      </c>
      <c r="AD17" s="26" t="b">
        <v>1</v>
      </c>
      <c r="AE17" s="26" t="b">
        <v>1</v>
      </c>
      <c r="AF17" s="32" t="b">
        <v>0</v>
      </c>
      <c r="AG17" s="133"/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Y18" s="81" t="str">
        <f t="shared" si="8"/>
        <v>Clean (~20 min)</v>
      </c>
      <c r="Z18" s="26" t="b">
        <v>1</v>
      </c>
      <c r="AA18" s="26" t="b">
        <v>0</v>
      </c>
      <c r="AB18" s="26" t="b">
        <v>1</v>
      </c>
      <c r="AC18" s="26" t="b">
        <v>0</v>
      </c>
      <c r="AD18" s="26" t="b">
        <v>1</v>
      </c>
      <c r="AE18" s="26" t="b">
        <v>1</v>
      </c>
      <c r="AF18" s="32" t="b">
        <v>0</v>
      </c>
      <c r="AG18" s="133"/>
    </row>
    <row r="19">
      <c r="A19" s="127"/>
      <c r="B19" s="88" t="s">
        <v>27</v>
      </c>
      <c r="C19" s="44">
        <f t="shared" ref="C19:I19" si="9">COUNTIF(C7:C18,True)/COUNTA(C7:C18)</f>
        <v>0.25</v>
      </c>
      <c r="D19" s="44">
        <f t="shared" si="9"/>
        <v>0.3333333333</v>
      </c>
      <c r="E19" s="44">
        <f t="shared" si="9"/>
        <v>0.25</v>
      </c>
      <c r="F19" s="44">
        <f t="shared" si="9"/>
        <v>0.25</v>
      </c>
      <c r="G19" s="44">
        <f t="shared" si="9"/>
        <v>0.25</v>
      </c>
      <c r="H19" s="44">
        <f t="shared" si="9"/>
        <v>0.3333333333</v>
      </c>
      <c r="I19" s="45">
        <f t="shared" si="9"/>
        <v>0.4166666667</v>
      </c>
      <c r="J19" s="21"/>
      <c r="K19" s="134" t="s">
        <v>27</v>
      </c>
      <c r="L19" s="135">
        <f t="shared" ref="L19:R19" si="10">COUNTIF(L7:L18,True)/COUNTA(L7:L18)</f>
        <v>0.5833333333</v>
      </c>
      <c r="M19" s="135">
        <f t="shared" si="10"/>
        <v>0.3333333333</v>
      </c>
      <c r="N19" s="135">
        <f t="shared" si="10"/>
        <v>0.3333333333</v>
      </c>
      <c r="O19" s="135">
        <f t="shared" si="10"/>
        <v>0.1666666667</v>
      </c>
      <c r="P19" s="135">
        <f t="shared" si="10"/>
        <v>0.1666666667</v>
      </c>
      <c r="Q19" s="135">
        <f t="shared" si="10"/>
        <v>0.1666666667</v>
      </c>
      <c r="R19" s="135">
        <f t="shared" si="10"/>
        <v>0</v>
      </c>
      <c r="T19" s="88" t="s">
        <v>27</v>
      </c>
      <c r="U19" s="44">
        <f t="shared" ref="U19:V19" si="11">COUNTIF(U9:U18,True)/COUNTA(U9:U18)</f>
        <v>0.8</v>
      </c>
      <c r="V19" s="45">
        <f t="shared" si="11"/>
        <v>0.7</v>
      </c>
      <c r="Y19" s="81" t="str">
        <f t="shared" si="8"/>
        <v>Read (~20 min)</v>
      </c>
      <c r="Z19" s="26" t="b">
        <v>0</v>
      </c>
      <c r="AA19" s="26" t="b">
        <v>0</v>
      </c>
      <c r="AB19" s="26" t="b">
        <v>0</v>
      </c>
      <c r="AC19" s="26" t="b">
        <v>0</v>
      </c>
      <c r="AD19" s="26" t="b">
        <v>0</v>
      </c>
      <c r="AE19" s="26" t="b">
        <v>0</v>
      </c>
      <c r="AF19" s="32" t="b">
        <v>1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1</v>
      </c>
      <c r="AA20" s="26" t="b">
        <v>0</v>
      </c>
      <c r="AB20" s="26" t="b">
        <v>1</v>
      </c>
      <c r="AC20" s="26" t="b">
        <v>0</v>
      </c>
      <c r="AD20" s="26" t="b">
        <v>0</v>
      </c>
      <c r="AE20" s="26" t="b">
        <v>0</v>
      </c>
      <c r="AF20" s="32" t="b">
        <v>0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COUNTIF(Z10:Z21,True)/COUNTA(Z10:Z21)</f>
        <v>0.4166666667</v>
      </c>
      <c r="AA22" s="135">
        <f t="shared" si="12"/>
        <v>0.3333333333</v>
      </c>
      <c r="AB22" s="135">
        <f t="shared" si="12"/>
        <v>0.4166666667</v>
      </c>
      <c r="AC22" s="135">
        <f t="shared" si="12"/>
        <v>0.1666666667</v>
      </c>
      <c r="AD22" s="135">
        <f t="shared" si="12"/>
        <v>0.25</v>
      </c>
      <c r="AE22" s="135">
        <f t="shared" si="12"/>
        <v>0.3333333333</v>
      </c>
      <c r="AF22" s="135">
        <f t="shared" si="12"/>
        <v>0.25</v>
      </c>
      <c r="AG22" s="71"/>
    </row>
    <row r="23">
      <c r="A23" s="127"/>
      <c r="B23" s="139" t="s">
        <v>35</v>
      </c>
      <c r="C23" s="97">
        <f>R5+1</f>
        <v>45642</v>
      </c>
      <c r="D23" s="108">
        <f t="shared" ref="D23:I23" si="13">C23+1</f>
        <v>45643</v>
      </c>
      <c r="E23" s="108">
        <f t="shared" si="13"/>
        <v>45644</v>
      </c>
      <c r="F23" s="108">
        <f t="shared" si="13"/>
        <v>45645</v>
      </c>
      <c r="G23" s="108">
        <f t="shared" si="13"/>
        <v>45646</v>
      </c>
      <c r="H23" s="108">
        <f t="shared" si="13"/>
        <v>45647</v>
      </c>
      <c r="I23" s="111">
        <f t="shared" si="13"/>
        <v>45648</v>
      </c>
      <c r="J23" s="52"/>
      <c r="K23" s="110" t="s">
        <v>36</v>
      </c>
      <c r="L23" s="108">
        <f>I23+1</f>
        <v>45649</v>
      </c>
      <c r="M23" s="108">
        <f t="shared" ref="M23:R23" si="14">L23+1</f>
        <v>45650</v>
      </c>
      <c r="N23" s="108">
        <f t="shared" si="14"/>
        <v>45651</v>
      </c>
      <c r="O23" s="108">
        <f t="shared" si="14"/>
        <v>45652</v>
      </c>
      <c r="P23" s="108">
        <f t="shared" si="14"/>
        <v>45653</v>
      </c>
      <c r="Q23" s="108">
        <f t="shared" si="14"/>
        <v>45654</v>
      </c>
      <c r="R23" s="111">
        <f t="shared" si="14"/>
        <v>45655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1</v>
      </c>
      <c r="V24" s="26" t="b">
        <v>1</v>
      </c>
      <c r="W24" s="32" t="b">
        <v>1</v>
      </c>
      <c r="Y24" s="90" t="s">
        <v>48</v>
      </c>
      <c r="Z24" s="53" t="str">
        <f>IFERROR(__xludf.DUMMYFUNCTION("SPARKLINE((SUM(Z22:AF22)+3*W34)/10,{""charttype"",""bar"";""max"",1;""min"",0;""color1"",IF((SUM(Z22:AF22)+3*W34)/10&gt;0.7,""green"",IF((SUM(Z22:AF22)+3*W34)/10&gt;0.5,""yellow"",""red""))})"),"")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0</v>
      </c>
      <c r="D25" s="26" t="b">
        <v>1</v>
      </c>
      <c r="E25" s="26" t="b">
        <v>0</v>
      </c>
      <c r="F25" s="28" t="b">
        <v>0</v>
      </c>
      <c r="G25" s="27" t="b">
        <v>0</v>
      </c>
      <c r="H25" s="26" t="b">
        <v>0</v>
      </c>
      <c r="I25" s="29" t="b">
        <v>0</v>
      </c>
      <c r="J25" s="30"/>
      <c r="K25" s="81" t="str">
        <f t="shared" ref="K25:K35" si="18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1</v>
      </c>
      <c r="Q25" s="26" t="b">
        <v>1</v>
      </c>
      <c r="R25" s="32" t="b">
        <v>0</v>
      </c>
      <c r="T25" s="82" t="s">
        <v>8</v>
      </c>
      <c r="U25" s="26" t="b">
        <v>1</v>
      </c>
      <c r="V25" s="26" t="b">
        <v>1</v>
      </c>
      <c r="W25" s="32" t="b">
        <v>1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0</v>
      </c>
      <c r="E26" s="27" t="b">
        <v>0</v>
      </c>
      <c r="F26" s="26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8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32" t="b">
        <v>1</v>
      </c>
      <c r="T26" s="82" t="s">
        <v>10</v>
      </c>
      <c r="U26" s="26" t="b">
        <v>1</v>
      </c>
      <c r="V26" s="26" t="b">
        <v>1</v>
      </c>
      <c r="W26" s="32" t="b">
        <v>1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1</v>
      </c>
      <c r="D27" s="26" t="b">
        <v>1</v>
      </c>
      <c r="E27" s="26" t="b">
        <v>1</v>
      </c>
      <c r="F27" s="28" t="b">
        <v>0</v>
      </c>
      <c r="G27" s="26" t="b">
        <v>0</v>
      </c>
      <c r="H27" s="26" t="b">
        <v>0</v>
      </c>
      <c r="I27" s="32" t="b">
        <v>0</v>
      </c>
      <c r="J27" s="30"/>
      <c r="K27" s="81" t="str">
        <f t="shared" si="18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32" t="b">
        <v>0</v>
      </c>
      <c r="T27" s="82" t="s">
        <v>12</v>
      </c>
      <c r="U27" s="26" t="b">
        <v>0</v>
      </c>
      <c r="V27" s="26" t="b">
        <v>0</v>
      </c>
      <c r="W27" s="32" t="b">
        <v>1</v>
      </c>
      <c r="Y27" s="82" t="s">
        <v>28</v>
      </c>
      <c r="Z27" s="32" t="b">
        <v>0</v>
      </c>
      <c r="AF27" s="133"/>
      <c r="AG27" s="133"/>
    </row>
    <row r="28">
      <c r="A28" s="127"/>
      <c r="B28" s="82" t="str">
        <f t="shared" si="17"/>
        <v>Eat in</v>
      </c>
      <c r="C28" s="26" t="b">
        <v>1</v>
      </c>
      <c r="D28" s="26" t="b">
        <v>1</v>
      </c>
      <c r="E28" s="26" t="b">
        <v>1</v>
      </c>
      <c r="F28" s="26" t="b">
        <v>0</v>
      </c>
      <c r="G28" s="26" t="b">
        <v>0</v>
      </c>
      <c r="H28" s="26" t="b">
        <v>0</v>
      </c>
      <c r="I28" s="32" t="b">
        <v>0</v>
      </c>
      <c r="J28" s="30"/>
      <c r="K28" s="81" t="str">
        <f t="shared" si="18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32" t="b">
        <v>0</v>
      </c>
      <c r="T28" s="82" t="s">
        <v>56</v>
      </c>
      <c r="U28" s="26" t="b">
        <v>0</v>
      </c>
      <c r="V28" s="26" t="b">
        <v>0</v>
      </c>
      <c r="W28" s="32" t="b">
        <v>1</v>
      </c>
      <c r="Y28" s="82" t="s">
        <v>47</v>
      </c>
      <c r="Z28" s="32" t="b">
        <v>0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0</v>
      </c>
      <c r="D29" s="26" t="b">
        <v>0</v>
      </c>
      <c r="E29" s="26" t="b">
        <v>1</v>
      </c>
      <c r="F29" s="26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8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1</v>
      </c>
      <c r="Q29" s="26" t="b">
        <v>0</v>
      </c>
      <c r="R29" s="32" t="b">
        <v>0</v>
      </c>
      <c r="T29" s="82" t="s">
        <v>16</v>
      </c>
      <c r="U29" s="26" t="b">
        <v>1</v>
      </c>
      <c r="V29" s="26" t="b">
        <v>1</v>
      </c>
      <c r="W29" s="32" t="b">
        <v>1</v>
      </c>
      <c r="Y29" s="82" t="s">
        <v>30</v>
      </c>
      <c r="Z29" s="32" t="b">
        <v>1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0</v>
      </c>
      <c r="D30" s="26" t="b">
        <v>0</v>
      </c>
      <c r="E30" s="26" t="b">
        <v>0</v>
      </c>
      <c r="F30" s="26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8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26" t="b">
        <v>1</v>
      </c>
      <c r="W30" s="32" t="b">
        <v>1</v>
      </c>
      <c r="Y30" s="82" t="s">
        <v>32</v>
      </c>
      <c r="Z30" s="32" t="b">
        <v>1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1</v>
      </c>
      <c r="E31" s="26" t="b">
        <v>0</v>
      </c>
      <c r="F31" s="26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0</v>
      </c>
      <c r="V31" s="26" t="b">
        <v>1</v>
      </c>
      <c r="W31" s="32" t="b">
        <v>1</v>
      </c>
      <c r="Y31" s="85" t="s">
        <v>34</v>
      </c>
      <c r="Z31" s="32" t="b">
        <v>1</v>
      </c>
      <c r="AF31" s="145"/>
      <c r="AG31" s="145"/>
    </row>
    <row r="32">
      <c r="A32" s="127"/>
      <c r="B32" s="82" t="str">
        <f t="shared" si="17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1</v>
      </c>
      <c r="J32" s="30"/>
      <c r="K32" s="81" t="str">
        <f t="shared" si="18"/>
        <v>7 hours sleep</v>
      </c>
      <c r="L32" s="26" t="b">
        <v>1</v>
      </c>
      <c r="M32" s="26" t="b">
        <v>1</v>
      </c>
      <c r="N32" s="26" t="b">
        <v>1</v>
      </c>
      <c r="O32" s="26" t="b">
        <v>1</v>
      </c>
      <c r="P32" s="26" t="b">
        <v>1</v>
      </c>
      <c r="Q32" s="26" t="b">
        <v>1</v>
      </c>
      <c r="R32" s="32" t="b">
        <v>1</v>
      </c>
      <c r="T32" s="82" t="s">
        <v>22</v>
      </c>
      <c r="U32" s="26" t="b">
        <v>0</v>
      </c>
      <c r="V32" s="26" t="b">
        <v>0</v>
      </c>
      <c r="W32" s="32" t="b">
        <v>0</v>
      </c>
      <c r="Y32" s="91" t="s">
        <v>27</v>
      </c>
      <c r="Z32" s="92">
        <f>COUNTIF(Z27:Z31,True)/COUNTA(Z27:Z31)</f>
        <v>0.6</v>
      </c>
      <c r="AF32" s="71"/>
      <c r="AG32" s="71"/>
    </row>
    <row r="33">
      <c r="A33" s="127"/>
      <c r="B33" s="82" t="str">
        <f t="shared" si="17"/>
        <v>Clean (~20 min)</v>
      </c>
      <c r="C33" s="26" t="b">
        <v>1</v>
      </c>
      <c r="D33" s="26" t="b">
        <v>0</v>
      </c>
      <c r="E33" s="26" t="b">
        <v>1</v>
      </c>
      <c r="F33" s="26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8"/>
        <v>Clean (~20 min)</v>
      </c>
      <c r="L33" s="26" t="b">
        <v>0</v>
      </c>
      <c r="M33" s="26" t="b">
        <v>1</v>
      </c>
      <c r="N33" s="26" t="b">
        <v>1</v>
      </c>
      <c r="O33" s="26" t="b">
        <v>0</v>
      </c>
      <c r="P33" s="26" t="b">
        <v>0</v>
      </c>
      <c r="Q33" s="26" t="b">
        <v>0</v>
      </c>
      <c r="R33" s="32" t="b">
        <v>0</v>
      </c>
      <c r="T33" s="85" t="s">
        <v>24</v>
      </c>
      <c r="U33" s="38" t="b">
        <v>0</v>
      </c>
      <c r="V33" s="38" t="b">
        <v>0</v>
      </c>
      <c r="W33" s="32" t="b">
        <v>1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32" t="b">
        <v>0</v>
      </c>
      <c r="J34" s="30"/>
      <c r="K34" s="81" t="str">
        <f t="shared" si="18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W34" si="19">COUNTIF(U24:U33,True)/COUNTA(U24:U33)</f>
        <v>0.5</v>
      </c>
      <c r="V34" s="68">
        <f t="shared" si="19"/>
        <v>0.6</v>
      </c>
      <c r="W34" s="146">
        <f t="shared" si="19"/>
        <v>0.9</v>
      </c>
    </row>
    <row r="35">
      <c r="A35" s="133"/>
      <c r="B35" s="81" t="str">
        <f t="shared" si="17"/>
        <v>Vitamins</v>
      </c>
      <c r="C35" s="26" t="b">
        <v>1</v>
      </c>
      <c r="D35" s="26" t="b">
        <v>1</v>
      </c>
      <c r="E35" s="26" t="b">
        <v>0</v>
      </c>
      <c r="F35" s="26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8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32" t="b">
        <v>0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0.4166666667</v>
      </c>
      <c r="D37" s="44">
        <f t="shared" si="20"/>
        <v>0.5</v>
      </c>
      <c r="E37" s="44">
        <f t="shared" si="20"/>
        <v>0.4166666667</v>
      </c>
      <c r="F37" s="44">
        <f t="shared" si="20"/>
        <v>0.08333333333</v>
      </c>
      <c r="G37" s="44">
        <f t="shared" si="20"/>
        <v>0.08333333333</v>
      </c>
      <c r="H37" s="44">
        <f t="shared" si="20"/>
        <v>0.08333333333</v>
      </c>
      <c r="I37" s="45">
        <f t="shared" si="20"/>
        <v>0.08333333333</v>
      </c>
      <c r="J37" s="21"/>
      <c r="K37" s="134" t="s">
        <v>27</v>
      </c>
      <c r="L37" s="135">
        <f t="shared" ref="L37:R37" si="21">COUNTIF(L25:L36,True)/COUNTA(L25:L36)</f>
        <v>0.08333333333</v>
      </c>
      <c r="M37" s="135">
        <f t="shared" si="21"/>
        <v>0.1666666667</v>
      </c>
      <c r="N37" s="135">
        <f t="shared" si="21"/>
        <v>0.1666666667</v>
      </c>
      <c r="O37" s="135">
        <f t="shared" si="21"/>
        <v>0.08333333333</v>
      </c>
      <c r="P37" s="135">
        <f t="shared" si="21"/>
        <v>0.25</v>
      </c>
      <c r="Q37" s="135">
        <f t="shared" si="21"/>
        <v>0.1666666667</v>
      </c>
      <c r="R37" s="135">
        <f t="shared" si="21"/>
        <v>0.1666666667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45658.0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December2024!AF8+1</f>
        <v>45663</v>
      </c>
      <c r="D5" s="98">
        <f t="shared" ref="D5:I5" si="1">C5+1</f>
        <v>45664</v>
      </c>
      <c r="E5" s="98">
        <f t="shared" si="1"/>
        <v>45665</v>
      </c>
      <c r="F5" s="98">
        <f t="shared" si="1"/>
        <v>45666</v>
      </c>
      <c r="G5" s="98">
        <f t="shared" si="1"/>
        <v>45667</v>
      </c>
      <c r="H5" s="98">
        <f t="shared" si="1"/>
        <v>45668</v>
      </c>
      <c r="I5" s="125">
        <f t="shared" si="1"/>
        <v>45669</v>
      </c>
      <c r="J5" s="17"/>
      <c r="K5" s="126" t="s">
        <v>2</v>
      </c>
      <c r="L5" s="98">
        <f>I5+1</f>
        <v>45670</v>
      </c>
      <c r="M5" s="98">
        <f t="shared" ref="M5:R5" si="2">L5+1</f>
        <v>45671</v>
      </c>
      <c r="N5" s="98">
        <f t="shared" si="2"/>
        <v>45672</v>
      </c>
      <c r="O5" s="98">
        <f t="shared" si="2"/>
        <v>45673</v>
      </c>
      <c r="P5" s="98">
        <f t="shared" si="2"/>
        <v>45674</v>
      </c>
      <c r="Q5" s="98">
        <f t="shared" si="2"/>
        <v>45675</v>
      </c>
      <c r="R5" s="125">
        <f t="shared" si="2"/>
        <v>45676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1</v>
      </c>
      <c r="E7" s="26" t="b">
        <v>0</v>
      </c>
      <c r="F7" s="28" t="b">
        <v>1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1</v>
      </c>
      <c r="N7" s="26" t="b">
        <v>1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0.5733333333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1</v>
      </c>
      <c r="F8" s="26" t="b">
        <v>1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1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263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0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0</v>
      </c>
      <c r="P9" s="26" t="b">
        <v>0</v>
      </c>
      <c r="Q9" s="26" t="b">
        <v>1</v>
      </c>
      <c r="R9" s="32" t="b">
        <v>0</v>
      </c>
      <c r="T9" s="82" t="s">
        <v>6</v>
      </c>
      <c r="U9" s="26" t="b">
        <v>1</v>
      </c>
      <c r="V9" s="32" t="b">
        <v>1</v>
      </c>
      <c r="X9" s="131">
        <f>X8</f>
        <v>263</v>
      </c>
    </row>
    <row r="10">
      <c r="A10" s="128"/>
      <c r="B10" s="79" t="s">
        <v>11</v>
      </c>
      <c r="C10" s="26" t="b">
        <v>1</v>
      </c>
      <c r="D10" s="26" t="b">
        <v>0</v>
      </c>
      <c r="E10" s="26" t="b">
        <v>1</v>
      </c>
      <c r="F10" s="26" t="b">
        <v>1</v>
      </c>
      <c r="G10" s="26" t="b">
        <v>1</v>
      </c>
      <c r="H10" s="26" t="b">
        <v>0</v>
      </c>
      <c r="I10" s="32" t="b">
        <v>1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0</v>
      </c>
      <c r="O10" s="26" t="b">
        <v>1</v>
      </c>
      <c r="P10" s="26" t="b">
        <v>1</v>
      </c>
      <c r="Q10" s="26" t="b">
        <v>1</v>
      </c>
      <c r="R10" s="32" t="b">
        <v>0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1</v>
      </c>
      <c r="D11" s="26" t="b">
        <v>1</v>
      </c>
      <c r="E11" s="26" t="b">
        <v>1</v>
      </c>
      <c r="F11" s="26" t="b">
        <v>1</v>
      </c>
      <c r="G11" s="26" t="b">
        <v>1</v>
      </c>
      <c r="H11" s="26" t="b">
        <v>0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1</v>
      </c>
      <c r="O11" s="26" t="b">
        <v>0</v>
      </c>
      <c r="P11" s="26" t="b">
        <v>1</v>
      </c>
      <c r="Q11" s="26" t="b">
        <v>0</v>
      </c>
      <c r="R11" s="32" t="b">
        <v>0</v>
      </c>
      <c r="T11" s="82" t="s">
        <v>10</v>
      </c>
      <c r="U11" s="26" t="b">
        <v>1</v>
      </c>
      <c r="V11" s="32" t="b">
        <v>1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1</v>
      </c>
      <c r="F12" s="26" t="b">
        <v>1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1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1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1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1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1</v>
      </c>
      <c r="V13" s="32" t="b">
        <v>1</v>
      </c>
    </row>
    <row r="14">
      <c r="A14" s="128"/>
      <c r="B14" s="79" t="s">
        <v>19</v>
      </c>
      <c r="C14" s="26" t="b">
        <v>1</v>
      </c>
      <c r="D14" s="26" t="b">
        <v>0</v>
      </c>
      <c r="E14" s="26" t="b">
        <v>1</v>
      </c>
      <c r="F14" s="26" t="b">
        <v>1</v>
      </c>
      <c r="G14" s="26" t="b">
        <v>0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1</v>
      </c>
      <c r="O14" s="26" t="b">
        <v>1</v>
      </c>
      <c r="P14" s="26" t="b">
        <v>1</v>
      </c>
      <c r="Q14" s="26" t="b">
        <v>0</v>
      </c>
      <c r="R14" s="32" t="b">
        <v>1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1</v>
      </c>
      <c r="D15" s="26" t="b">
        <v>0</v>
      </c>
      <c r="E15" s="26" t="b">
        <v>1</v>
      </c>
      <c r="F15" s="26" t="b">
        <v>0</v>
      </c>
      <c r="G15" s="26" t="b">
        <v>0</v>
      </c>
      <c r="H15" s="26" t="b">
        <v>0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0</v>
      </c>
      <c r="P15" s="26" t="b">
        <v>1</v>
      </c>
      <c r="Q15" s="26" t="b">
        <v>1</v>
      </c>
      <c r="R15" s="32" t="b">
        <v>0</v>
      </c>
      <c r="T15" s="82" t="s">
        <v>18</v>
      </c>
      <c r="U15" s="26" t="b">
        <v>1</v>
      </c>
      <c r="V15" s="32" t="b">
        <v>1</v>
      </c>
    </row>
    <row r="16">
      <c r="A16" s="128"/>
      <c r="B16" s="79" t="s">
        <v>23</v>
      </c>
      <c r="C16" s="26" t="b">
        <v>1</v>
      </c>
      <c r="D16" s="26" t="b">
        <v>0</v>
      </c>
      <c r="E16" s="26" t="b">
        <v>1</v>
      </c>
      <c r="F16" s="26" t="b">
        <v>0</v>
      </c>
      <c r="G16" s="26" t="b">
        <v>0</v>
      </c>
      <c r="H16" s="26" t="b">
        <v>1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1</v>
      </c>
      <c r="D17" s="26" t="b">
        <v>0</v>
      </c>
      <c r="E17" s="26" t="b">
        <v>1</v>
      </c>
      <c r="F17" s="26" t="b">
        <v>1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1</v>
      </c>
      <c r="M17" s="26" t="b">
        <v>1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1</v>
      </c>
      <c r="T17" s="82" t="s">
        <v>22</v>
      </c>
      <c r="U17" s="26" t="b">
        <v>1</v>
      </c>
      <c r="V17" s="32" t="b">
        <v>0</v>
      </c>
      <c r="X17" s="82" t="s">
        <v>28</v>
      </c>
      <c r="Y17" s="32" t="b">
        <v>1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1</v>
      </c>
      <c r="F18" s="38" t="b">
        <v>1</v>
      </c>
      <c r="G18" s="38" t="b">
        <v>1</v>
      </c>
      <c r="H18" s="38" t="b">
        <v>1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1</v>
      </c>
    </row>
    <row r="19">
      <c r="A19" s="127"/>
      <c r="B19" s="88" t="s">
        <v>27</v>
      </c>
      <c r="C19" s="44">
        <f t="shared" ref="C19:I19" si="6">COUNTIF(C7:C18,True)/COUNTA(C7:C18)</f>
        <v>0.5833333333</v>
      </c>
      <c r="D19" s="44">
        <f t="shared" si="6"/>
        <v>0.25</v>
      </c>
      <c r="E19" s="44">
        <f t="shared" si="6"/>
        <v>0.8333333333</v>
      </c>
      <c r="F19" s="44">
        <f t="shared" si="6"/>
        <v>0.8333333333</v>
      </c>
      <c r="G19" s="44">
        <f t="shared" si="6"/>
        <v>0.3333333333</v>
      </c>
      <c r="H19" s="44">
        <f t="shared" si="6"/>
        <v>0.25</v>
      </c>
      <c r="I19" s="45">
        <f t="shared" si="6"/>
        <v>0.4166666667</v>
      </c>
      <c r="J19" s="21"/>
      <c r="K19" s="89" t="s">
        <v>27</v>
      </c>
      <c r="L19" s="44">
        <f t="shared" ref="L19:R19" si="7">COUNTIF(L7:L18,True)/COUNTA(L7:L18)</f>
        <v>0.5833333333</v>
      </c>
      <c r="M19" s="44">
        <f t="shared" si="7"/>
        <v>0.6666666667</v>
      </c>
      <c r="N19" s="44">
        <f t="shared" si="7"/>
        <v>0.3333333333</v>
      </c>
      <c r="O19" s="44">
        <f t="shared" si="7"/>
        <v>0.1666666667</v>
      </c>
      <c r="P19" s="44">
        <f t="shared" si="7"/>
        <v>0.3333333333</v>
      </c>
      <c r="Q19" s="44">
        <f t="shared" si="7"/>
        <v>0.25</v>
      </c>
      <c r="R19" s="44">
        <f t="shared" si="7"/>
        <v>0.25</v>
      </c>
      <c r="T19" s="88" t="s">
        <v>27</v>
      </c>
      <c r="U19" s="44">
        <f t="shared" ref="U19:V19" si="8">COUNTIF(U9:U18,True)/COUNTA(U9:U18)</f>
        <v>0.9</v>
      </c>
      <c r="V19" s="45">
        <f t="shared" si="8"/>
        <v>0.8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0.8</v>
      </c>
      <c r="Z22" s="56"/>
      <c r="AA22" s="56"/>
    </row>
    <row r="23">
      <c r="A23" s="127"/>
      <c r="B23" s="107" t="s">
        <v>35</v>
      </c>
      <c r="C23" s="97">
        <f>R5+1</f>
        <v>45677</v>
      </c>
      <c r="D23" s="108">
        <f t="shared" ref="D23:I23" si="9">C23+1</f>
        <v>45678</v>
      </c>
      <c r="E23" s="108">
        <f t="shared" si="9"/>
        <v>45679</v>
      </c>
      <c r="F23" s="108">
        <f t="shared" si="9"/>
        <v>45680</v>
      </c>
      <c r="G23" s="108">
        <f t="shared" si="9"/>
        <v>45681</v>
      </c>
      <c r="H23" s="108">
        <f t="shared" si="9"/>
        <v>45682</v>
      </c>
      <c r="I23" s="111">
        <f t="shared" si="9"/>
        <v>45683</v>
      </c>
      <c r="J23" s="52"/>
      <c r="K23" s="110" t="s">
        <v>36</v>
      </c>
      <c r="L23" s="108">
        <f>I23+1</f>
        <v>45684</v>
      </c>
      <c r="M23" s="108">
        <f t="shared" ref="M23:R23" si="10">L23+1</f>
        <v>45685</v>
      </c>
      <c r="N23" s="108">
        <f t="shared" si="10"/>
        <v>45686</v>
      </c>
      <c r="O23" s="108">
        <f t="shared" si="10"/>
        <v>45687</v>
      </c>
      <c r="P23" s="108">
        <f t="shared" si="10"/>
        <v>45688</v>
      </c>
      <c r="Q23" s="108">
        <f t="shared" si="10"/>
        <v>45689</v>
      </c>
      <c r="R23" s="111">
        <f t="shared" si="10"/>
        <v>45690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1</v>
      </c>
      <c r="E25" s="26" t="b">
        <v>1</v>
      </c>
      <c r="F25" s="28" t="b">
        <v>1</v>
      </c>
      <c r="G25" s="27" t="b">
        <v>0</v>
      </c>
      <c r="H25" s="26" t="b">
        <v>1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1</v>
      </c>
      <c r="N25" s="26" t="b">
        <v>0</v>
      </c>
      <c r="O25" s="26" t="b">
        <v>0</v>
      </c>
      <c r="P25" s="26" t="b">
        <v>0</v>
      </c>
      <c r="Q25" s="26" t="b">
        <v>1</v>
      </c>
      <c r="R25" s="29" t="b">
        <v>0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1</v>
      </c>
      <c r="E26" s="27" t="b">
        <v>0</v>
      </c>
      <c r="F26" s="26" t="b">
        <v>1</v>
      </c>
      <c r="G26" s="26" t="b">
        <v>0</v>
      </c>
      <c r="H26" s="27" t="b">
        <v>0</v>
      </c>
      <c r="I26" s="32" t="b">
        <v>1</v>
      </c>
      <c r="J26" s="30"/>
      <c r="K26" s="81" t="str">
        <f t="shared" si="14"/>
        <v>Stretch/Yoga (&gt;20min)</v>
      </c>
      <c r="L26" s="26" t="b">
        <v>1</v>
      </c>
      <c r="M26" s="26" t="b">
        <v>0</v>
      </c>
      <c r="N26" s="26" t="b">
        <v>0</v>
      </c>
      <c r="O26" s="26" t="b">
        <v>0</v>
      </c>
      <c r="P26" s="26" t="b">
        <v>1</v>
      </c>
      <c r="Q26" s="26" t="b">
        <v>0</v>
      </c>
      <c r="R26" s="29" t="b">
        <v>0</v>
      </c>
      <c r="T26" s="82" t="s">
        <v>10</v>
      </c>
      <c r="U26" s="26" t="b">
        <v>1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6" t="b">
        <v>1</v>
      </c>
      <c r="H27" s="26" t="b">
        <v>0</v>
      </c>
      <c r="I27" s="32" t="b">
        <v>1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0</v>
      </c>
      <c r="P27" s="26" t="b">
        <v>0</v>
      </c>
      <c r="Q27" s="26" t="b">
        <v>0</v>
      </c>
      <c r="R27" s="32" t="b">
        <v>1</v>
      </c>
      <c r="T27" s="82" t="s">
        <v>12</v>
      </c>
      <c r="U27" s="26" t="b">
        <v>1</v>
      </c>
      <c r="V27" s="32" t="b">
        <v>0</v>
      </c>
    </row>
    <row r="28">
      <c r="A28" s="127"/>
      <c r="B28" s="82" t="str">
        <f t="shared" si="13"/>
        <v>Eat in</v>
      </c>
      <c r="C28" s="26" t="b">
        <v>1</v>
      </c>
      <c r="D28" s="26" t="b">
        <v>1</v>
      </c>
      <c r="E28" s="26" t="b">
        <v>1</v>
      </c>
      <c r="F28" s="26" t="b">
        <v>1</v>
      </c>
      <c r="G28" s="26" t="b">
        <v>0</v>
      </c>
      <c r="H28" s="26" t="b">
        <v>1</v>
      </c>
      <c r="I28" s="32" t="b">
        <v>1</v>
      </c>
      <c r="J28" s="30"/>
      <c r="K28" s="81" t="str">
        <f t="shared" si="14"/>
        <v>Eat in</v>
      </c>
      <c r="L28" s="26" t="b">
        <v>1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29" t="b">
        <v>0</v>
      </c>
      <c r="T28" s="82" t="s">
        <v>56</v>
      </c>
      <c r="U28" s="26" t="b">
        <v>1</v>
      </c>
      <c r="V28" s="32" t="b">
        <v>1</v>
      </c>
    </row>
    <row r="29">
      <c r="A29" s="132"/>
      <c r="B29" s="95" t="str">
        <f t="shared" si="13"/>
        <v>Review Budget/Goals</v>
      </c>
      <c r="C29" s="26" t="b">
        <v>1</v>
      </c>
      <c r="D29" s="26" t="b">
        <v>1</v>
      </c>
      <c r="E29" s="26" t="b">
        <v>1</v>
      </c>
      <c r="F29" s="26" t="b">
        <v>1</v>
      </c>
      <c r="G29" s="26" t="b">
        <v>1</v>
      </c>
      <c r="H29" s="26" t="b">
        <v>1</v>
      </c>
      <c r="I29" s="32" t="b">
        <v>1</v>
      </c>
      <c r="J29" s="30"/>
      <c r="K29" s="95" t="str">
        <f t="shared" si="14"/>
        <v>Review Budget/Goals</v>
      </c>
      <c r="L29" s="26" t="b">
        <v>1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29" t="b">
        <v>0</v>
      </c>
      <c r="T29" s="82" t="s">
        <v>16</v>
      </c>
      <c r="U29" s="26" t="b">
        <v>1</v>
      </c>
      <c r="V29" s="32" t="b">
        <v>0</v>
      </c>
    </row>
    <row r="30">
      <c r="A30" s="127"/>
      <c r="B30" s="82" t="str">
        <f t="shared" si="13"/>
        <v>(2x)Brush+(1x)Floss</v>
      </c>
      <c r="C30" s="26" t="b">
        <v>1</v>
      </c>
      <c r="D30" s="26" t="b">
        <v>1</v>
      </c>
      <c r="E30" s="26" t="b">
        <v>0</v>
      </c>
      <c r="F30" s="26" t="b">
        <v>1</v>
      </c>
      <c r="G30" s="27" t="b">
        <v>0</v>
      </c>
      <c r="H30" s="26" t="b">
        <v>0</v>
      </c>
      <c r="I30" s="32" t="b">
        <v>1</v>
      </c>
      <c r="J30" s="30"/>
      <c r="K30" s="81" t="str">
        <f t="shared" si="14"/>
        <v>(2x)Brush+(1x)Floss</v>
      </c>
      <c r="L30" s="26" t="b">
        <v>1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32" t="b">
        <v>1</v>
      </c>
      <c r="T30" s="82" t="s">
        <v>18</v>
      </c>
      <c r="U30" s="26" t="b">
        <v>1</v>
      </c>
      <c r="V30" s="32" t="b">
        <v>0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6" t="b">
        <v>1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0</v>
      </c>
    </row>
    <row r="32">
      <c r="A32" s="127"/>
      <c r="B32" s="82" t="str">
        <f t="shared" si="13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0</v>
      </c>
      <c r="I32" s="32" t="b">
        <v>0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0</v>
      </c>
      <c r="O32" s="26" t="b">
        <v>0</v>
      </c>
      <c r="P32" s="26" t="b">
        <v>0</v>
      </c>
      <c r="Q32" s="26" t="b">
        <v>1</v>
      </c>
      <c r="R32" s="32" t="b">
        <v>1</v>
      </c>
      <c r="T32" s="82" t="s">
        <v>22</v>
      </c>
      <c r="U32" s="26" t="b">
        <v>1</v>
      </c>
      <c r="V32" s="32" t="b">
        <v>0</v>
      </c>
    </row>
    <row r="33">
      <c r="A33" s="127"/>
      <c r="B33" s="82" t="str">
        <f t="shared" si="13"/>
        <v>Clean (~20 min)</v>
      </c>
      <c r="C33" s="26" t="b">
        <v>1</v>
      </c>
      <c r="D33" s="26" t="b">
        <v>0</v>
      </c>
      <c r="E33" s="26" t="b">
        <v>1</v>
      </c>
      <c r="F33" s="27" t="b">
        <v>0</v>
      </c>
      <c r="G33" s="26" t="b">
        <v>0</v>
      </c>
      <c r="H33" s="26" t="b">
        <v>0</v>
      </c>
      <c r="I33" s="32" t="b">
        <v>1</v>
      </c>
      <c r="J33" s="30"/>
      <c r="K33" s="81" t="str">
        <f t="shared" si="14"/>
        <v>Clean (~20 min)</v>
      </c>
      <c r="L33" s="26" t="b">
        <v>1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32" t="b">
        <v>1</v>
      </c>
      <c r="T33" s="85" t="s">
        <v>24</v>
      </c>
      <c r="U33" s="38" t="b">
        <v>1</v>
      </c>
      <c r="V33" s="39" t="b">
        <v>0</v>
      </c>
    </row>
    <row r="34">
      <c r="A34" s="127"/>
      <c r="B34" s="82" t="str">
        <f t="shared" si="13"/>
        <v>Read (~20 min)</v>
      </c>
      <c r="C34" s="26" t="b">
        <v>0</v>
      </c>
      <c r="D34" s="26" t="b">
        <v>1</v>
      </c>
      <c r="E34" s="27" t="b">
        <v>0</v>
      </c>
      <c r="F34" s="26" t="b">
        <v>1</v>
      </c>
      <c r="G34" s="27" t="b">
        <v>0</v>
      </c>
      <c r="H34" s="26" t="b">
        <v>0</v>
      </c>
      <c r="I34" s="32" t="b">
        <v>1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32" t="b">
        <v>1</v>
      </c>
      <c r="T34" s="88" t="s">
        <v>27</v>
      </c>
      <c r="U34" s="68">
        <f t="shared" ref="U34:V34" si="15">COUNTIF(U24:U33,True)/COUNTA(U24:U33)</f>
        <v>1</v>
      </c>
      <c r="V34" s="69">
        <f t="shared" si="15"/>
        <v>0.4</v>
      </c>
    </row>
    <row r="35">
      <c r="A35" s="133"/>
      <c r="B35" s="81" t="str">
        <f t="shared" si="13"/>
        <v>Vitamins</v>
      </c>
      <c r="C35" s="26" t="b">
        <v>1</v>
      </c>
      <c r="D35" s="26" t="b">
        <v>1</v>
      </c>
      <c r="E35" s="26" t="b">
        <v>1</v>
      </c>
      <c r="F35" s="26" t="b">
        <v>1</v>
      </c>
      <c r="G35" s="26" t="b">
        <v>1</v>
      </c>
      <c r="H35" s="26" t="b">
        <v>1</v>
      </c>
      <c r="I35" s="32" t="b">
        <v>1</v>
      </c>
      <c r="J35" s="30"/>
      <c r="K35" s="81" t="str">
        <f t="shared" si="14"/>
        <v>Vitamins</v>
      </c>
      <c r="L35" s="26" t="b">
        <v>1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32" t="b">
        <v>1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1</v>
      </c>
      <c r="D36" s="38" t="b">
        <v>1</v>
      </c>
      <c r="E36" s="38" t="b">
        <v>1</v>
      </c>
      <c r="F36" s="38" t="b">
        <v>1</v>
      </c>
      <c r="G36" s="38" t="b">
        <v>1</v>
      </c>
      <c r="H36" s="38" t="b">
        <v>0</v>
      </c>
      <c r="I36" s="39" t="b">
        <v>1</v>
      </c>
      <c r="J36" s="30"/>
      <c r="K36" s="81" t="str">
        <f>B36</f>
        <v>Duolingo</v>
      </c>
      <c r="L36" s="26" t="b">
        <v>1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0.6666666667</v>
      </c>
      <c r="D37" s="44">
        <f t="shared" si="16"/>
        <v>0.8333333333</v>
      </c>
      <c r="E37" s="44">
        <f t="shared" si="16"/>
        <v>0.6666666667</v>
      </c>
      <c r="F37" s="44">
        <f t="shared" si="16"/>
        <v>0.9166666667</v>
      </c>
      <c r="G37" s="44">
        <f t="shared" si="16"/>
        <v>0.4166666667</v>
      </c>
      <c r="H37" s="44">
        <f t="shared" si="16"/>
        <v>0.3333333333</v>
      </c>
      <c r="I37" s="45">
        <f t="shared" si="16"/>
        <v>0.75</v>
      </c>
      <c r="J37" s="21"/>
      <c r="K37" s="89" t="s">
        <v>27</v>
      </c>
      <c r="L37" s="44">
        <f t="shared" ref="L37:R37" si="17">COUNTIF(L25:L36,True)/COUNTA(L25:L36)</f>
        <v>0.75</v>
      </c>
      <c r="M37" s="44">
        <f t="shared" si="17"/>
        <v>0.25</v>
      </c>
      <c r="N37" s="44">
        <f t="shared" si="17"/>
        <v>0.08333333333</v>
      </c>
      <c r="O37" s="44">
        <f t="shared" si="17"/>
        <v>0</v>
      </c>
      <c r="P37" s="44">
        <f t="shared" si="17"/>
        <v>0.08333333333</v>
      </c>
      <c r="Q37" s="44">
        <f t="shared" si="17"/>
        <v>0.1666666667</v>
      </c>
      <c r="R37" s="44">
        <f t="shared" si="17"/>
        <v>0.5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v>45689.0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January2025!R23+1</f>
        <v>45691</v>
      </c>
      <c r="D5" s="98">
        <f t="shared" ref="D5:I5" si="1">C5+1</f>
        <v>45692</v>
      </c>
      <c r="E5" s="98">
        <f t="shared" si="1"/>
        <v>45693</v>
      </c>
      <c r="F5" s="98">
        <f t="shared" si="1"/>
        <v>45694</v>
      </c>
      <c r="G5" s="98">
        <f t="shared" si="1"/>
        <v>45695</v>
      </c>
      <c r="H5" s="98">
        <f t="shared" si="1"/>
        <v>45696</v>
      </c>
      <c r="I5" s="125">
        <f t="shared" si="1"/>
        <v>45697</v>
      </c>
      <c r="J5" s="17"/>
      <c r="K5" s="126" t="s">
        <v>2</v>
      </c>
      <c r="L5" s="98">
        <f>I5+1</f>
        <v>45698</v>
      </c>
      <c r="M5" s="98">
        <f t="shared" ref="M5:R5" si="2">L5+1</f>
        <v>45699</v>
      </c>
      <c r="N5" s="98">
        <f t="shared" si="2"/>
        <v>45700</v>
      </c>
      <c r="O5" s="98">
        <f t="shared" si="2"/>
        <v>45701</v>
      </c>
      <c r="P5" s="98">
        <f t="shared" si="2"/>
        <v>45702</v>
      </c>
      <c r="Q5" s="98">
        <f t="shared" si="2"/>
        <v>45703</v>
      </c>
      <c r="R5" s="125">
        <f t="shared" si="2"/>
        <v>45704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0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1</v>
      </c>
      <c r="N7" s="26" t="b">
        <v>0</v>
      </c>
      <c r="O7" s="26" t="b">
        <v>1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0.5818518519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267</v>
      </c>
    </row>
    <row r="9">
      <c r="A9" s="128"/>
      <c r="B9" s="79" t="s">
        <v>39</v>
      </c>
      <c r="C9" s="26" t="b">
        <v>1</v>
      </c>
      <c r="D9" s="26" t="b">
        <v>0</v>
      </c>
      <c r="E9" s="26" t="b">
        <v>0</v>
      </c>
      <c r="F9" s="28" t="b">
        <v>0</v>
      </c>
      <c r="G9" s="26" t="b">
        <v>0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1</v>
      </c>
      <c r="P9" s="26" t="b">
        <v>1</v>
      </c>
      <c r="Q9" s="26" t="b">
        <v>1</v>
      </c>
      <c r="R9" s="32" t="b">
        <v>1</v>
      </c>
      <c r="T9" s="82" t="s">
        <v>6</v>
      </c>
      <c r="U9" s="26" t="b">
        <v>1</v>
      </c>
      <c r="V9" s="32" t="b">
        <v>1</v>
      </c>
      <c r="X9" s="131">
        <f>X8 + January2025!X9</f>
        <v>530</v>
      </c>
    </row>
    <row r="10">
      <c r="A10" s="128"/>
      <c r="B10" s="79" t="s">
        <v>11</v>
      </c>
      <c r="C10" s="26" t="b">
        <v>1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1</v>
      </c>
      <c r="I10" s="32" t="b">
        <v>1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1</v>
      </c>
      <c r="O10" s="26" t="b">
        <v>0</v>
      </c>
      <c r="P10" s="26" t="b">
        <v>0</v>
      </c>
      <c r="Q10" s="26" t="b">
        <v>0</v>
      </c>
      <c r="R10" s="32" t="b">
        <v>1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1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1</v>
      </c>
      <c r="I11" s="32" t="b">
        <v>1</v>
      </c>
      <c r="J11" s="30"/>
      <c r="K11" s="81" t="str">
        <f t="shared" si="5"/>
        <v>Review Budget/Goals</v>
      </c>
      <c r="L11" s="26" t="b">
        <v>1</v>
      </c>
      <c r="M11" s="26" t="b">
        <v>1</v>
      </c>
      <c r="N11" s="26" t="b">
        <v>1</v>
      </c>
      <c r="O11" s="26" t="b">
        <v>0</v>
      </c>
      <c r="P11" s="26" t="b">
        <v>0</v>
      </c>
      <c r="Q11" s="26" t="b">
        <v>0</v>
      </c>
      <c r="R11" s="32" t="b">
        <v>1</v>
      </c>
      <c r="T11" s="82" t="s">
        <v>10</v>
      </c>
      <c r="U11" s="26" t="b">
        <v>1</v>
      </c>
      <c r="V11" s="32" t="b">
        <v>1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1</v>
      </c>
      <c r="M12" s="26" t="b">
        <v>1</v>
      </c>
      <c r="N12" s="26" t="b">
        <v>0</v>
      </c>
      <c r="O12" s="26" t="b">
        <v>1</v>
      </c>
      <c r="P12" s="26" t="b">
        <v>0</v>
      </c>
      <c r="Q12" s="26" t="b">
        <v>0</v>
      </c>
      <c r="R12" s="32" t="b">
        <v>1</v>
      </c>
      <c r="T12" s="82" t="s">
        <v>12</v>
      </c>
      <c r="U12" s="26" t="b">
        <v>1</v>
      </c>
      <c r="V12" s="32" t="b">
        <v>0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1</v>
      </c>
      <c r="I13" s="32" t="b">
        <v>0</v>
      </c>
      <c r="J13" s="30"/>
      <c r="K13" s="81" t="str">
        <f t="shared" si="5"/>
        <v>Water (3L)</v>
      </c>
      <c r="L13" s="26" t="b">
        <v>1</v>
      </c>
      <c r="M13" s="26" t="b">
        <v>1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0</v>
      </c>
      <c r="V13" s="32" t="b">
        <v>1</v>
      </c>
    </row>
    <row r="14">
      <c r="A14" s="128"/>
      <c r="B14" s="79" t="s">
        <v>19</v>
      </c>
      <c r="C14" s="26" t="b">
        <v>1</v>
      </c>
      <c r="D14" s="26" t="b">
        <v>1</v>
      </c>
      <c r="E14" s="26" t="b">
        <v>0</v>
      </c>
      <c r="F14" s="26" t="b">
        <v>1</v>
      </c>
      <c r="G14" s="26" t="b">
        <v>0</v>
      </c>
      <c r="H14" s="26" t="b">
        <v>1</v>
      </c>
      <c r="I14" s="32" t="b">
        <v>0</v>
      </c>
      <c r="J14" s="30"/>
      <c r="K14" s="81" t="str">
        <f t="shared" si="5"/>
        <v>7 hours sleep</v>
      </c>
      <c r="L14" s="26" t="b">
        <v>1</v>
      </c>
      <c r="M14" s="26" t="b">
        <v>0</v>
      </c>
      <c r="N14" s="26" t="b">
        <v>1</v>
      </c>
      <c r="O14" s="26" t="b">
        <v>1</v>
      </c>
      <c r="P14" s="26" t="b">
        <v>0</v>
      </c>
      <c r="Q14" s="26" t="b">
        <v>1</v>
      </c>
      <c r="R14" s="32" t="b">
        <v>1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1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1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0</v>
      </c>
      <c r="P15" s="26" t="b">
        <v>1</v>
      </c>
      <c r="Q15" s="26" t="b">
        <v>1</v>
      </c>
      <c r="R15" s="32" t="b">
        <v>1</v>
      </c>
      <c r="T15" s="82" t="s">
        <v>18</v>
      </c>
      <c r="U15" s="26" t="b">
        <v>1</v>
      </c>
      <c r="V15" s="32" t="b">
        <v>1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1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1</v>
      </c>
      <c r="M16" s="26" t="b">
        <v>1</v>
      </c>
      <c r="N16" s="26" t="b">
        <v>1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0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1</v>
      </c>
      <c r="J17" s="30"/>
      <c r="K17" s="81" t="str">
        <f t="shared" si="5"/>
        <v>Vitamins</v>
      </c>
      <c r="L17" s="26" t="b">
        <v>1</v>
      </c>
      <c r="M17" s="26" t="b">
        <v>1</v>
      </c>
      <c r="N17" s="26" t="b">
        <v>1</v>
      </c>
      <c r="O17" s="26" t="b">
        <v>0</v>
      </c>
      <c r="P17" s="26" t="b">
        <v>0</v>
      </c>
      <c r="Q17" s="26" t="b">
        <v>0</v>
      </c>
      <c r="R17" s="32" t="b">
        <v>1</v>
      </c>
      <c r="T17" s="82" t="s">
        <v>22</v>
      </c>
      <c r="U17" s="26" t="b">
        <v>0</v>
      </c>
      <c r="V17" s="32" t="b">
        <v>0</v>
      </c>
      <c r="X17" s="82" t="s">
        <v>28</v>
      </c>
      <c r="Y17" s="32" t="b">
        <v>1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1</v>
      </c>
      <c r="J18" s="30"/>
      <c r="K18" s="81" t="str">
        <f t="shared" si="5"/>
        <v>Duolingo</v>
      </c>
      <c r="L18" s="26" t="b">
        <v>1</v>
      </c>
      <c r="M18" s="26" t="b">
        <v>1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1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0.4166666667</v>
      </c>
      <c r="D19" s="44">
        <f t="shared" si="6"/>
        <v>0.08333333333</v>
      </c>
      <c r="E19" s="44">
        <f t="shared" si="6"/>
        <v>0</v>
      </c>
      <c r="F19" s="44">
        <f t="shared" si="6"/>
        <v>0.1666666667</v>
      </c>
      <c r="G19" s="44">
        <f t="shared" si="6"/>
        <v>0</v>
      </c>
      <c r="H19" s="44">
        <f t="shared" si="6"/>
        <v>0.4166666667</v>
      </c>
      <c r="I19" s="45">
        <f t="shared" si="6"/>
        <v>0.5</v>
      </c>
      <c r="J19" s="21"/>
      <c r="K19" s="89" t="s">
        <v>27</v>
      </c>
      <c r="L19" s="44">
        <f t="shared" ref="L19:R19" si="7">COUNTIF(L7:L18,True)/COUNTA(L7:L18)</f>
        <v>0.75</v>
      </c>
      <c r="M19" s="44">
        <f t="shared" si="7"/>
        <v>0.6666666667</v>
      </c>
      <c r="N19" s="44">
        <f t="shared" si="7"/>
        <v>0.5</v>
      </c>
      <c r="O19" s="44">
        <f t="shared" si="7"/>
        <v>0.3333333333</v>
      </c>
      <c r="P19" s="44">
        <f t="shared" si="7"/>
        <v>0.1666666667</v>
      </c>
      <c r="Q19" s="44">
        <f t="shared" si="7"/>
        <v>0.25</v>
      </c>
      <c r="R19" s="44">
        <f t="shared" si="7"/>
        <v>0.6666666667</v>
      </c>
      <c r="T19" s="88" t="s">
        <v>27</v>
      </c>
      <c r="U19" s="44">
        <f t="shared" ref="U19:V19" si="8">COUNTIF(U9:U18,True)/COUNTA(U9:U18)</f>
        <v>0.6</v>
      </c>
      <c r="V19" s="45">
        <f t="shared" si="8"/>
        <v>0.7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1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0.8</v>
      </c>
      <c r="Z22" s="56"/>
      <c r="AA22" s="56"/>
    </row>
    <row r="23">
      <c r="A23" s="127"/>
      <c r="B23" s="107" t="s">
        <v>35</v>
      </c>
      <c r="C23" s="97">
        <f>R5+1</f>
        <v>45705</v>
      </c>
      <c r="D23" s="108">
        <f t="shared" ref="D23:I23" si="9">C23+1</f>
        <v>45706</v>
      </c>
      <c r="E23" s="108">
        <f t="shared" si="9"/>
        <v>45707</v>
      </c>
      <c r="F23" s="108">
        <f t="shared" si="9"/>
        <v>45708</v>
      </c>
      <c r="G23" s="108">
        <f t="shared" si="9"/>
        <v>45709</v>
      </c>
      <c r="H23" s="108">
        <f t="shared" si="9"/>
        <v>45710</v>
      </c>
      <c r="I23" s="111">
        <f t="shared" si="9"/>
        <v>45711</v>
      </c>
      <c r="J23" s="52"/>
      <c r="K23" s="110" t="s">
        <v>36</v>
      </c>
      <c r="L23" s="108">
        <f>I23+1</f>
        <v>45712</v>
      </c>
      <c r="M23" s="108">
        <f t="shared" ref="M23:R23" si="10">L23+1</f>
        <v>45713</v>
      </c>
      <c r="N23" s="108">
        <f t="shared" si="10"/>
        <v>45714</v>
      </c>
      <c r="O23" s="108">
        <f t="shared" si="10"/>
        <v>45715</v>
      </c>
      <c r="P23" s="108">
        <f t="shared" si="10"/>
        <v>45716</v>
      </c>
      <c r="Q23" s="108">
        <f t="shared" si="10"/>
        <v>45717</v>
      </c>
      <c r="R23" s="111">
        <f t="shared" si="10"/>
        <v>45718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1</v>
      </c>
      <c r="E25" s="26" t="b">
        <v>1</v>
      </c>
      <c r="F25" s="28" t="b">
        <v>1</v>
      </c>
      <c r="G25" s="27" t="b">
        <v>0</v>
      </c>
      <c r="H25" s="26" t="b">
        <v>1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1</v>
      </c>
      <c r="N25" s="26" t="b">
        <v>1</v>
      </c>
      <c r="O25" s="26" t="b">
        <v>1</v>
      </c>
      <c r="P25" s="26" t="b">
        <v>0</v>
      </c>
      <c r="Q25" s="26" t="b">
        <v>1</v>
      </c>
      <c r="R25" s="29" t="b">
        <v>0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1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1</v>
      </c>
      <c r="D27" s="26" t="b">
        <v>1</v>
      </c>
      <c r="E27" s="26" t="b">
        <v>1</v>
      </c>
      <c r="F27" s="28" t="b">
        <v>1</v>
      </c>
      <c r="G27" s="27" t="b">
        <v>0</v>
      </c>
      <c r="H27" s="26" t="b">
        <v>1</v>
      </c>
      <c r="I27" s="32" t="b">
        <v>0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1</v>
      </c>
      <c r="Q27" s="26" t="b">
        <v>1</v>
      </c>
      <c r="R27" s="29" t="b">
        <v>0</v>
      </c>
      <c r="T27" s="82" t="s">
        <v>12</v>
      </c>
      <c r="U27" s="26" t="b">
        <v>1</v>
      </c>
      <c r="V27" s="32" t="b">
        <v>1</v>
      </c>
    </row>
    <row r="28">
      <c r="A28" s="127"/>
      <c r="B28" s="82" t="str">
        <f t="shared" si="13"/>
        <v>Eat in</v>
      </c>
      <c r="C28" s="26" t="b">
        <v>1</v>
      </c>
      <c r="D28" s="26" t="b">
        <v>1</v>
      </c>
      <c r="E28" s="26" t="b">
        <v>1</v>
      </c>
      <c r="F28" s="26" t="b">
        <v>1</v>
      </c>
      <c r="G28" s="26" t="b">
        <v>1</v>
      </c>
      <c r="H28" s="26" t="b">
        <v>0</v>
      </c>
      <c r="I28" s="32" t="b">
        <v>1</v>
      </c>
      <c r="J28" s="30"/>
      <c r="K28" s="81" t="str">
        <f t="shared" si="14"/>
        <v>Eat in</v>
      </c>
      <c r="L28" s="26" t="b">
        <v>1</v>
      </c>
      <c r="M28" s="26" t="b">
        <v>1</v>
      </c>
      <c r="N28" s="26" t="b">
        <v>1</v>
      </c>
      <c r="O28" s="26" t="b">
        <v>1</v>
      </c>
      <c r="P28" s="26" t="b">
        <v>1</v>
      </c>
      <c r="Q28" s="26" t="b">
        <v>1</v>
      </c>
      <c r="R28" s="29" t="b">
        <v>0</v>
      </c>
      <c r="T28" s="82" t="s">
        <v>56</v>
      </c>
      <c r="U28" s="26" t="b">
        <v>1</v>
      </c>
      <c r="V28" s="32" t="b">
        <v>1</v>
      </c>
    </row>
    <row r="29">
      <c r="A29" s="132"/>
      <c r="B29" s="95" t="str">
        <f t="shared" si="13"/>
        <v>Review Budget/Goals</v>
      </c>
      <c r="C29" s="26" t="b">
        <v>1</v>
      </c>
      <c r="D29" s="26" t="b">
        <v>0</v>
      </c>
      <c r="E29" s="26" t="b">
        <v>1</v>
      </c>
      <c r="F29" s="27" t="b">
        <v>0</v>
      </c>
      <c r="G29" s="26" t="b">
        <v>1</v>
      </c>
      <c r="H29" s="26" t="b">
        <v>1</v>
      </c>
      <c r="I29" s="32" t="b">
        <v>1</v>
      </c>
      <c r="J29" s="30"/>
      <c r="K29" s="95" t="str">
        <f t="shared" si="14"/>
        <v>Review Budget/Goals</v>
      </c>
      <c r="L29" s="26" t="b">
        <v>1</v>
      </c>
      <c r="M29" s="26" t="b">
        <v>1</v>
      </c>
      <c r="N29" s="26" t="b">
        <v>1</v>
      </c>
      <c r="O29" s="26" t="b">
        <v>0</v>
      </c>
      <c r="P29" s="26" t="b">
        <v>1</v>
      </c>
      <c r="Q29" s="26" t="b">
        <v>0</v>
      </c>
      <c r="R29" s="32" t="b">
        <v>1</v>
      </c>
      <c r="T29" s="82" t="s">
        <v>16</v>
      </c>
      <c r="U29" s="26" t="b">
        <v>1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1</v>
      </c>
      <c r="D30" s="26" t="b">
        <v>0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1</v>
      </c>
      <c r="M30" s="26" t="b">
        <v>0</v>
      </c>
      <c r="N30" s="26" t="b">
        <v>1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32" t="b">
        <v>1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6" t="b">
        <v>1</v>
      </c>
      <c r="G31" s="26" t="b">
        <v>1</v>
      </c>
      <c r="H31" s="26" t="b">
        <v>1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1</v>
      </c>
      <c r="O31" s="26" t="b">
        <v>1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0</v>
      </c>
      <c r="J32" s="30"/>
      <c r="K32" s="81" t="str">
        <f t="shared" si="14"/>
        <v>7 hours sleep</v>
      </c>
      <c r="L32" s="26" t="b">
        <v>1</v>
      </c>
      <c r="M32" s="26" t="b">
        <v>1</v>
      </c>
      <c r="N32" s="26" t="b">
        <v>1</v>
      </c>
      <c r="O32" s="26" t="b">
        <v>1</v>
      </c>
      <c r="P32" s="26" t="b">
        <v>1</v>
      </c>
      <c r="Q32" s="26" t="b">
        <v>1</v>
      </c>
      <c r="R32" s="29" t="b">
        <v>0</v>
      </c>
      <c r="T32" s="82" t="s">
        <v>22</v>
      </c>
      <c r="U32" s="26" t="b">
        <v>1</v>
      </c>
      <c r="V32" s="32" t="b">
        <v>0</v>
      </c>
    </row>
    <row r="33">
      <c r="A33" s="127"/>
      <c r="B33" s="82" t="str">
        <f t="shared" si="13"/>
        <v>Clean (~20 min)</v>
      </c>
      <c r="C33" s="26" t="b">
        <v>1</v>
      </c>
      <c r="D33" s="26" t="b">
        <v>0</v>
      </c>
      <c r="E33" s="26" t="b">
        <v>1</v>
      </c>
      <c r="F33" s="27" t="b">
        <v>0</v>
      </c>
      <c r="G33" s="26" t="b">
        <v>1</v>
      </c>
      <c r="H33" s="26" t="b">
        <v>1</v>
      </c>
      <c r="I33" s="32" t="b">
        <v>1</v>
      </c>
      <c r="J33" s="30"/>
      <c r="K33" s="81" t="str">
        <f t="shared" si="14"/>
        <v>Clean (~20 min)</v>
      </c>
      <c r="L33" s="26" t="b">
        <v>1</v>
      </c>
      <c r="M33" s="26" t="b">
        <v>0</v>
      </c>
      <c r="N33" s="26" t="b">
        <v>1</v>
      </c>
      <c r="O33" s="26" t="b">
        <v>1</v>
      </c>
      <c r="P33" s="26" t="b">
        <v>1</v>
      </c>
      <c r="Q33" s="26" t="b">
        <v>1</v>
      </c>
      <c r="R33" s="32" t="b">
        <v>1</v>
      </c>
      <c r="T33" s="85" t="s">
        <v>24</v>
      </c>
      <c r="U33" s="38" t="b">
        <v>1</v>
      </c>
      <c r="V33" s="39" t="b">
        <v>1</v>
      </c>
    </row>
    <row r="34">
      <c r="A34" s="127"/>
      <c r="B34" s="82" t="str">
        <f t="shared" si="13"/>
        <v>Read (~20 min)</v>
      </c>
      <c r="C34" s="26" t="b">
        <v>1</v>
      </c>
      <c r="D34" s="26" t="b">
        <v>0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1</v>
      </c>
      <c r="M34" s="26" t="b">
        <v>0</v>
      </c>
      <c r="N34" s="26" t="b">
        <v>1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1</v>
      </c>
      <c r="V34" s="69">
        <f t="shared" si="15"/>
        <v>0.9</v>
      </c>
    </row>
    <row r="35">
      <c r="A35" s="133"/>
      <c r="B35" s="81" t="str">
        <f t="shared" si="13"/>
        <v>Vitamins</v>
      </c>
      <c r="C35" s="26" t="b">
        <v>1</v>
      </c>
      <c r="D35" s="26" t="b">
        <v>1</v>
      </c>
      <c r="E35" s="27" t="b">
        <v>0</v>
      </c>
      <c r="F35" s="26" t="b">
        <v>1</v>
      </c>
      <c r="G35" s="26" t="b">
        <v>1</v>
      </c>
      <c r="H35" s="26" t="b">
        <v>1</v>
      </c>
      <c r="I35" s="32" t="b">
        <v>1</v>
      </c>
      <c r="J35" s="30"/>
      <c r="K35" s="81" t="str">
        <f t="shared" si="14"/>
        <v>Vitamins</v>
      </c>
      <c r="L35" s="26" t="b">
        <v>1</v>
      </c>
      <c r="M35" s="26" t="b">
        <v>0</v>
      </c>
      <c r="N35" s="26" t="b">
        <v>1</v>
      </c>
      <c r="O35" s="26" t="b">
        <v>1</v>
      </c>
      <c r="P35" s="26" t="b">
        <v>1</v>
      </c>
      <c r="Q35" s="26" t="b">
        <v>1</v>
      </c>
      <c r="R35" s="29" t="b">
        <v>0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1</v>
      </c>
      <c r="D36" s="38" t="b">
        <v>0</v>
      </c>
      <c r="E36" s="38" t="b">
        <v>1</v>
      </c>
      <c r="F36" s="38" t="b">
        <v>0</v>
      </c>
      <c r="G36" s="38" t="b">
        <v>1</v>
      </c>
      <c r="H36" s="38" t="b">
        <v>1</v>
      </c>
      <c r="I36" s="39" t="b">
        <v>0</v>
      </c>
      <c r="J36" s="30"/>
      <c r="K36" s="81" t="str">
        <f>B36</f>
        <v>Duolingo</v>
      </c>
      <c r="L36" s="26" t="b">
        <v>1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0.75</v>
      </c>
      <c r="D37" s="44">
        <f t="shared" si="16"/>
        <v>0.4166666667</v>
      </c>
      <c r="E37" s="44">
        <f t="shared" si="16"/>
        <v>0.5833333333</v>
      </c>
      <c r="F37" s="44">
        <f t="shared" si="16"/>
        <v>0.5</v>
      </c>
      <c r="G37" s="44">
        <f t="shared" si="16"/>
        <v>0.5833333333</v>
      </c>
      <c r="H37" s="44">
        <f t="shared" si="16"/>
        <v>0.6666666667</v>
      </c>
      <c r="I37" s="45">
        <f t="shared" si="16"/>
        <v>0.4166666667</v>
      </c>
      <c r="J37" s="21"/>
      <c r="K37" s="89" t="s">
        <v>27</v>
      </c>
      <c r="L37" s="44">
        <f t="shared" ref="L37:R37" si="17">COUNTIF(L25:L36,True)/COUNTA(L25:L36)</f>
        <v>0.75</v>
      </c>
      <c r="M37" s="44">
        <f t="shared" si="17"/>
        <v>0.4166666667</v>
      </c>
      <c r="N37" s="44">
        <f t="shared" si="17"/>
        <v>0.8333333333</v>
      </c>
      <c r="O37" s="44">
        <f t="shared" si="17"/>
        <v>0.5833333333</v>
      </c>
      <c r="P37" s="44">
        <f t="shared" si="17"/>
        <v>0.5</v>
      </c>
      <c r="Q37" s="44">
        <f t="shared" si="17"/>
        <v>0.5</v>
      </c>
      <c r="R37" s="44">
        <f t="shared" si="17"/>
        <v>0.1666666667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0.4557575758</v>
      </c>
    </row>
    <row r="3">
      <c r="A3" s="120"/>
      <c r="B3" s="8">
        <v>45717.0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253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February2025!X9</f>
        <v>783</v>
      </c>
    </row>
    <row r="5">
      <c r="A5" s="124"/>
      <c r="B5" s="96" t="s">
        <v>1</v>
      </c>
      <c r="C5" s="97">
        <f>February2025!R23+1</f>
        <v>45719</v>
      </c>
      <c r="D5" s="98">
        <f t="shared" ref="D5:I5" si="1">C5+1</f>
        <v>45720</v>
      </c>
      <c r="E5" s="98">
        <f t="shared" si="1"/>
        <v>45721</v>
      </c>
      <c r="F5" s="98">
        <f t="shared" si="1"/>
        <v>45722</v>
      </c>
      <c r="G5" s="98">
        <f t="shared" si="1"/>
        <v>45723</v>
      </c>
      <c r="H5" s="98">
        <f t="shared" si="1"/>
        <v>45724</v>
      </c>
      <c r="I5" s="125">
        <f t="shared" si="1"/>
        <v>45725</v>
      </c>
      <c r="J5" s="17"/>
      <c r="K5" s="126" t="s">
        <v>2</v>
      </c>
      <c r="L5" s="98">
        <f>I5+1</f>
        <v>45726</v>
      </c>
      <c r="M5" s="98">
        <f t="shared" ref="M5:R5" si="2">L5+1</f>
        <v>45727</v>
      </c>
      <c r="N5" s="98">
        <f t="shared" si="2"/>
        <v>45728</v>
      </c>
      <c r="O5" s="98">
        <f t="shared" si="2"/>
        <v>45729</v>
      </c>
      <c r="P5" s="98">
        <f t="shared" si="2"/>
        <v>45730</v>
      </c>
      <c r="Q5" s="98">
        <f t="shared" si="2"/>
        <v>45731</v>
      </c>
      <c r="R5" s="125">
        <f t="shared" si="2"/>
        <v>45732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1</v>
      </c>
      <c r="E7" s="26" t="b">
        <v>1</v>
      </c>
      <c r="F7" s="28" t="b">
        <v>1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1</v>
      </c>
      <c r="O7" s="26" t="b">
        <v>1</v>
      </c>
      <c r="P7" s="26" t="b">
        <v>1</v>
      </c>
      <c r="Q7" s="26" t="b">
        <v>1</v>
      </c>
      <c r="R7" s="32" t="b">
        <v>1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1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45747</v>
      </c>
      <c r="AA8" s="108">
        <f t="shared" ref="AA8:AF8" si="6">Z8+1</f>
        <v>45748</v>
      </c>
      <c r="AB8" s="108">
        <f t="shared" si="6"/>
        <v>45749</v>
      </c>
      <c r="AC8" s="108">
        <f t="shared" si="6"/>
        <v>45750</v>
      </c>
      <c r="AD8" s="108">
        <f t="shared" si="6"/>
        <v>45751</v>
      </c>
      <c r="AE8" s="108">
        <f t="shared" si="6"/>
        <v>45752</v>
      </c>
      <c r="AF8" s="111">
        <f t="shared" si="6"/>
        <v>45753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0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1</v>
      </c>
      <c r="V9" s="32" t="b">
        <v>0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1</v>
      </c>
      <c r="D10" s="26" t="b">
        <v>1</v>
      </c>
      <c r="E10" s="26" t="b">
        <v>1</v>
      </c>
      <c r="F10" s="26" t="b">
        <v>1</v>
      </c>
      <c r="G10" s="26" t="b">
        <v>1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1</v>
      </c>
      <c r="Y10" s="81" t="str">
        <f t="shared" ref="Y10:Y20" si="8">K7</f>
        <v>Exercise</v>
      </c>
      <c r="Z10" s="26" t="b">
        <v>1</v>
      </c>
      <c r="AA10" s="26" t="b">
        <v>1</v>
      </c>
      <c r="AB10" s="26" t="b">
        <v>0</v>
      </c>
      <c r="AC10" s="26" t="b">
        <v>1</v>
      </c>
      <c r="AD10" s="26" t="b">
        <v>1</v>
      </c>
      <c r="AE10" s="26" t="b">
        <v>1</v>
      </c>
      <c r="AF10" s="29" t="b">
        <v>0</v>
      </c>
      <c r="AG10" s="133"/>
    </row>
    <row r="11">
      <c r="A11" s="132"/>
      <c r="B11" s="95" t="s">
        <v>13</v>
      </c>
      <c r="C11" s="26" t="b">
        <v>0</v>
      </c>
      <c r="D11" s="26" t="b">
        <v>1</v>
      </c>
      <c r="E11" s="26" t="b">
        <v>1</v>
      </c>
      <c r="F11" s="26" t="b">
        <v>0</v>
      </c>
      <c r="G11" s="26" t="b">
        <v>1</v>
      </c>
      <c r="H11" s="26" t="b">
        <v>0</v>
      </c>
      <c r="I11" s="32" t="b">
        <v>1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0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1</v>
      </c>
      <c r="V11" s="32" t="b">
        <v>1</v>
      </c>
      <c r="Y11" s="81" t="str">
        <f t="shared" si="8"/>
        <v>Stretch/Yoga (&gt;20min)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32" t="b">
        <v>1</v>
      </c>
      <c r="AG11" s="133"/>
    </row>
    <row r="12">
      <c r="A12" s="127"/>
      <c r="B12" s="82" t="s">
        <v>37</v>
      </c>
      <c r="C12" s="26" t="b">
        <v>0</v>
      </c>
      <c r="D12" s="26" t="b">
        <v>0</v>
      </c>
      <c r="E12" s="26" t="b">
        <v>1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0</v>
      </c>
      <c r="Y12" s="81" t="str">
        <f t="shared" si="8"/>
        <v>Social Media (&lt;limit)</v>
      </c>
      <c r="Z12" s="26" t="b">
        <v>1</v>
      </c>
      <c r="AA12" s="26" t="b">
        <v>1</v>
      </c>
      <c r="AB12" s="26" t="b">
        <v>1</v>
      </c>
      <c r="AC12" s="26" t="b">
        <v>1</v>
      </c>
      <c r="AD12" s="26" t="b">
        <v>1</v>
      </c>
      <c r="AE12" s="26" t="b">
        <v>0</v>
      </c>
      <c r="AF12" s="32" t="b">
        <v>1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1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1</v>
      </c>
      <c r="V13" s="32" t="b">
        <v>1</v>
      </c>
      <c r="Y13" s="81" t="str">
        <f t="shared" si="8"/>
        <v>Eat in</v>
      </c>
      <c r="Z13" s="26" t="b">
        <v>1</v>
      </c>
      <c r="AA13" s="26" t="b">
        <v>1</v>
      </c>
      <c r="AB13" s="26" t="b">
        <v>0</v>
      </c>
      <c r="AC13" s="26" t="b">
        <v>0</v>
      </c>
      <c r="AD13" s="26" t="b">
        <v>0</v>
      </c>
      <c r="AE13" s="26" t="b">
        <v>1</v>
      </c>
      <c r="AF13" s="32" t="b">
        <v>1</v>
      </c>
      <c r="AG13" s="133"/>
    </row>
    <row r="14">
      <c r="A14" s="128"/>
      <c r="B14" s="79" t="s">
        <v>19</v>
      </c>
      <c r="C14" s="26" t="b">
        <v>1</v>
      </c>
      <c r="D14" s="26" t="b">
        <v>1</v>
      </c>
      <c r="E14" s="26" t="b">
        <v>0</v>
      </c>
      <c r="F14" s="26" t="b">
        <v>1</v>
      </c>
      <c r="G14" s="26" t="b">
        <v>1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0</v>
      </c>
      <c r="M14" s="26" t="b">
        <v>0</v>
      </c>
      <c r="N14" s="26" t="b">
        <v>1</v>
      </c>
      <c r="O14" s="26" t="b">
        <v>1</v>
      </c>
      <c r="P14" s="26" t="b">
        <v>1</v>
      </c>
      <c r="Q14" s="26" t="b">
        <v>1</v>
      </c>
      <c r="R14" s="32" t="b">
        <v>1</v>
      </c>
      <c r="T14" s="82" t="s">
        <v>16</v>
      </c>
      <c r="U14" s="26" t="b">
        <v>1</v>
      </c>
      <c r="V14" s="32" t="b">
        <v>1</v>
      </c>
      <c r="Y14" s="95" t="str">
        <f t="shared" si="8"/>
        <v>Review Budget/Goals</v>
      </c>
      <c r="Z14" s="26" t="b">
        <v>0</v>
      </c>
      <c r="AA14" s="26" t="b">
        <v>0</v>
      </c>
      <c r="AB14" s="26" t="b">
        <v>0</v>
      </c>
      <c r="AC14" s="26" t="b">
        <v>0</v>
      </c>
      <c r="AD14" s="26" t="b">
        <v>0</v>
      </c>
      <c r="AE14" s="26" t="b">
        <v>1</v>
      </c>
      <c r="AF14" s="32" t="b">
        <v>1</v>
      </c>
      <c r="AG14" s="133"/>
    </row>
    <row r="15">
      <c r="A15" s="128"/>
      <c r="B15" s="79" t="s">
        <v>21</v>
      </c>
      <c r="C15" s="26" t="b">
        <v>1</v>
      </c>
      <c r="D15" s="26" t="b">
        <v>0</v>
      </c>
      <c r="E15" s="26" t="b">
        <v>1</v>
      </c>
      <c r="F15" s="26" t="b">
        <v>0</v>
      </c>
      <c r="G15" s="26" t="b">
        <v>1</v>
      </c>
      <c r="H15" s="26" t="b">
        <v>1</v>
      </c>
      <c r="I15" s="32" t="b">
        <v>0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1</v>
      </c>
      <c r="V15" s="32" t="b">
        <v>1</v>
      </c>
      <c r="Y15" s="81" t="str">
        <f t="shared" si="8"/>
        <v>(2x)Brush+(1x)Floss</v>
      </c>
      <c r="Z15" s="26" t="b">
        <v>0</v>
      </c>
      <c r="AA15" s="26" t="b">
        <v>0</v>
      </c>
      <c r="AB15" s="26" t="b">
        <v>0</v>
      </c>
      <c r="AC15" s="26" t="b">
        <v>0</v>
      </c>
      <c r="AD15" s="26" t="b">
        <v>0</v>
      </c>
      <c r="AE15" s="26" t="b">
        <v>0</v>
      </c>
      <c r="AF15" s="32" t="b">
        <v>0</v>
      </c>
      <c r="AG15" s="133"/>
    </row>
    <row r="16">
      <c r="A16" s="128"/>
      <c r="B16" s="79" t="s">
        <v>23</v>
      </c>
      <c r="C16" s="26" t="b">
        <v>0</v>
      </c>
      <c r="D16" s="26" t="b">
        <v>1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1</v>
      </c>
      <c r="T16" s="82" t="s">
        <v>20</v>
      </c>
      <c r="U16" s="26" t="b">
        <v>1</v>
      </c>
      <c r="V16" s="32" t="b">
        <v>1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1</v>
      </c>
      <c r="D17" s="26" t="b">
        <v>0</v>
      </c>
      <c r="E17" s="26" t="b">
        <v>1</v>
      </c>
      <c r="F17" s="26" t="b">
        <v>1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1</v>
      </c>
      <c r="O17" s="26" t="b">
        <v>1</v>
      </c>
      <c r="P17" s="26" t="b">
        <v>1</v>
      </c>
      <c r="Q17" s="26" t="b">
        <v>1</v>
      </c>
      <c r="R17" s="32" t="b">
        <v>1</v>
      </c>
      <c r="T17" s="82" t="s">
        <v>22</v>
      </c>
      <c r="U17" s="26" t="b">
        <v>1</v>
      </c>
      <c r="V17" s="32" t="b">
        <v>0</v>
      </c>
      <c r="Y17" s="81" t="str">
        <f t="shared" si="8"/>
        <v>7 hours sleep</v>
      </c>
      <c r="Z17" s="26" t="b">
        <v>1</v>
      </c>
      <c r="AA17" s="26" t="b">
        <v>1</v>
      </c>
      <c r="AB17" s="26" t="b">
        <v>1</v>
      </c>
      <c r="AC17" s="26" t="b">
        <v>1</v>
      </c>
      <c r="AD17" s="26" t="b">
        <v>1</v>
      </c>
      <c r="AE17" s="26" t="b">
        <v>1</v>
      </c>
      <c r="AF17" s="32" t="b">
        <v>1</v>
      </c>
      <c r="AG17" s="133"/>
    </row>
    <row r="18">
      <c r="A18" s="133"/>
      <c r="B18" s="86" t="s">
        <v>46</v>
      </c>
      <c r="C18" s="38" t="b">
        <v>0</v>
      </c>
      <c r="D18" s="38" t="b">
        <v>0</v>
      </c>
      <c r="E18" s="38" t="b">
        <v>1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Y18" s="81" t="str">
        <f t="shared" si="8"/>
        <v>Clean (~20 min)</v>
      </c>
      <c r="Z18" s="26" t="b">
        <v>1</v>
      </c>
      <c r="AA18" s="26" t="b">
        <v>0</v>
      </c>
      <c r="AB18" s="26" t="b">
        <v>0</v>
      </c>
      <c r="AC18" s="26" t="b">
        <v>0</v>
      </c>
      <c r="AD18" s="26" t="b">
        <v>1</v>
      </c>
      <c r="AE18" s="26" t="b">
        <v>0</v>
      </c>
      <c r="AF18" s="32" t="b">
        <v>0</v>
      </c>
      <c r="AG18" s="133"/>
    </row>
    <row r="19">
      <c r="A19" s="127"/>
      <c r="B19" s="88" t="s">
        <v>27</v>
      </c>
      <c r="C19" s="44">
        <f t="shared" ref="C19:I19" si="9">COUNTIF(C7:C18,True)/COUNTA(C7:C18)</f>
        <v>0.4166666667</v>
      </c>
      <c r="D19" s="44">
        <f t="shared" si="9"/>
        <v>0.5</v>
      </c>
      <c r="E19" s="44">
        <f t="shared" si="9"/>
        <v>0.75</v>
      </c>
      <c r="F19" s="44">
        <f t="shared" si="9"/>
        <v>0.5</v>
      </c>
      <c r="G19" s="44">
        <f t="shared" si="9"/>
        <v>0.4166666667</v>
      </c>
      <c r="H19" s="44">
        <f t="shared" si="9"/>
        <v>0.08333333333</v>
      </c>
      <c r="I19" s="45">
        <f t="shared" si="9"/>
        <v>0.08333333333</v>
      </c>
      <c r="J19" s="21"/>
      <c r="K19" s="134" t="s">
        <v>27</v>
      </c>
      <c r="L19" s="135">
        <f t="shared" ref="L19:R19" si="10">COUNTIF(L7:L18,True)/COUNTA(L7:L18)</f>
        <v>0</v>
      </c>
      <c r="M19" s="135">
        <f t="shared" si="10"/>
        <v>0</v>
      </c>
      <c r="N19" s="135">
        <f t="shared" si="10"/>
        <v>0.25</v>
      </c>
      <c r="O19" s="135">
        <f t="shared" si="10"/>
        <v>0.25</v>
      </c>
      <c r="P19" s="135">
        <f t="shared" si="10"/>
        <v>0.25</v>
      </c>
      <c r="Q19" s="135">
        <f t="shared" si="10"/>
        <v>0.25</v>
      </c>
      <c r="R19" s="135">
        <f t="shared" si="10"/>
        <v>0.3333333333</v>
      </c>
      <c r="T19" s="88" t="s">
        <v>27</v>
      </c>
      <c r="U19" s="44">
        <f t="shared" ref="U19:V19" si="11">COUNTIF(U9:U18,True)/COUNTA(U9:U18)</f>
        <v>0.9</v>
      </c>
      <c r="V19" s="45">
        <f t="shared" si="11"/>
        <v>0.6</v>
      </c>
      <c r="Y19" s="81" t="str">
        <f t="shared" si="8"/>
        <v>Read (~20 min)</v>
      </c>
      <c r="Z19" s="26" t="b">
        <v>0</v>
      </c>
      <c r="AA19" s="26" t="b">
        <v>0</v>
      </c>
      <c r="AB19" s="26" t="b">
        <v>0</v>
      </c>
      <c r="AC19" s="26" t="b">
        <v>0</v>
      </c>
      <c r="AD19" s="26" t="b">
        <v>0</v>
      </c>
      <c r="AE19" s="26" t="b">
        <v>1</v>
      </c>
      <c r="AF19" s="32" t="b">
        <v>1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0</v>
      </c>
      <c r="AA20" s="26" t="b">
        <v>1</v>
      </c>
      <c r="AB20" s="26" t="b">
        <v>1</v>
      </c>
      <c r="AC20" s="26" t="b">
        <v>0</v>
      </c>
      <c r="AD20" s="26" t="b">
        <v>1</v>
      </c>
      <c r="AE20" s="26" t="b">
        <v>0</v>
      </c>
      <c r="AF20" s="32" t="b">
        <v>1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COUNTIF(Z10:Z21,True)/COUNTA(Z10:Z21)</f>
        <v>0.4166666667</v>
      </c>
      <c r="AA22" s="135">
        <f t="shared" si="12"/>
        <v>0.4166666667</v>
      </c>
      <c r="AB22" s="135">
        <f t="shared" si="12"/>
        <v>0.25</v>
      </c>
      <c r="AC22" s="135">
        <f t="shared" si="12"/>
        <v>0.25</v>
      </c>
      <c r="AD22" s="135">
        <f t="shared" si="12"/>
        <v>0.4166666667</v>
      </c>
      <c r="AE22" s="135">
        <f t="shared" si="12"/>
        <v>0.4166666667</v>
      </c>
      <c r="AF22" s="135">
        <f t="shared" si="12"/>
        <v>0.5833333333</v>
      </c>
      <c r="AG22" s="71"/>
    </row>
    <row r="23">
      <c r="A23" s="127"/>
      <c r="B23" s="139" t="s">
        <v>35</v>
      </c>
      <c r="C23" s="97">
        <f>R5+1</f>
        <v>45733</v>
      </c>
      <c r="D23" s="108">
        <f t="shared" ref="D23:I23" si="13">C23+1</f>
        <v>45734</v>
      </c>
      <c r="E23" s="108">
        <f t="shared" si="13"/>
        <v>45735</v>
      </c>
      <c r="F23" s="108">
        <f t="shared" si="13"/>
        <v>45736</v>
      </c>
      <c r="G23" s="108">
        <f t="shared" si="13"/>
        <v>45737</v>
      </c>
      <c r="H23" s="108">
        <f t="shared" si="13"/>
        <v>45738</v>
      </c>
      <c r="I23" s="111">
        <f t="shared" si="13"/>
        <v>45739</v>
      </c>
      <c r="J23" s="52"/>
      <c r="K23" s="110" t="s">
        <v>36</v>
      </c>
      <c r="L23" s="108">
        <f>I23+1</f>
        <v>45740</v>
      </c>
      <c r="M23" s="108">
        <f t="shared" ref="M23:R23" si="14">L23+1</f>
        <v>45741</v>
      </c>
      <c r="N23" s="108">
        <f t="shared" si="14"/>
        <v>45742</v>
      </c>
      <c r="O23" s="108">
        <f t="shared" si="14"/>
        <v>45743</v>
      </c>
      <c r="P23" s="108">
        <f t="shared" si="14"/>
        <v>45744</v>
      </c>
      <c r="Q23" s="108">
        <f t="shared" si="14"/>
        <v>45745</v>
      </c>
      <c r="R23" s="111">
        <f t="shared" si="14"/>
        <v>45746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1</v>
      </c>
      <c r="V24" s="26" t="b">
        <v>1</v>
      </c>
      <c r="W24" s="32" t="b">
        <v>1</v>
      </c>
      <c r="Y24" s="90" t="s">
        <v>48</v>
      </c>
      <c r="Z24" s="53" t="str">
        <f>IFERROR(__xludf.DUMMYFUNCTION("SPARKLINE((SUM(Z22:AF22)+3*W34)/10,{""charttype"",""bar"";""max"",1;""min"",0;""color1"",IF((SUM(Z22:AF22)+3*W34)/10&gt;0.7,""green"",IF((SUM(Z22:AF22)+3*W34)/10&gt;0.5,""yellow"",""red""))})"),"")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1</v>
      </c>
      <c r="D25" s="26" t="b">
        <v>1</v>
      </c>
      <c r="E25" s="26" t="b">
        <v>1</v>
      </c>
      <c r="F25" s="28" t="b">
        <v>1</v>
      </c>
      <c r="G25" s="26" t="b">
        <v>1</v>
      </c>
      <c r="H25" s="26" t="b">
        <v>0</v>
      </c>
      <c r="I25" s="29" t="b">
        <v>0</v>
      </c>
      <c r="J25" s="30"/>
      <c r="K25" s="81" t="str">
        <f t="shared" ref="K25:K35" si="18">B7</f>
        <v>Exercise</v>
      </c>
      <c r="L25" s="26" t="b">
        <v>1</v>
      </c>
      <c r="M25" s="26" t="b">
        <v>1</v>
      </c>
      <c r="N25" s="26" t="b">
        <v>1</v>
      </c>
      <c r="O25" s="26" t="b">
        <v>1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1</v>
      </c>
      <c r="V25" s="26" t="b">
        <v>0</v>
      </c>
      <c r="W25" s="32" t="b">
        <v>0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0</v>
      </c>
      <c r="E26" s="27" t="b">
        <v>0</v>
      </c>
      <c r="F26" s="26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8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26" t="b">
        <v>1</v>
      </c>
      <c r="W26" s="32" t="b">
        <v>1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1</v>
      </c>
      <c r="D27" s="26" t="b">
        <v>1</v>
      </c>
      <c r="E27" s="26" t="b">
        <v>0</v>
      </c>
      <c r="F27" s="28" t="b">
        <v>1</v>
      </c>
      <c r="G27" s="26" t="b">
        <v>0</v>
      </c>
      <c r="H27" s="26" t="b">
        <v>1</v>
      </c>
      <c r="I27" s="32" t="b">
        <v>0</v>
      </c>
      <c r="J27" s="30"/>
      <c r="K27" s="81" t="str">
        <f t="shared" si="18"/>
        <v>Social Media (&lt;limit)</v>
      </c>
      <c r="L27" s="26" t="b">
        <v>1</v>
      </c>
      <c r="M27" s="26" t="b">
        <v>1</v>
      </c>
      <c r="N27" s="26" t="b">
        <v>1</v>
      </c>
      <c r="O27" s="26" t="b">
        <v>1</v>
      </c>
      <c r="P27" s="26" t="b">
        <v>0</v>
      </c>
      <c r="Q27" s="26" t="b">
        <v>0</v>
      </c>
      <c r="R27" s="32" t="b">
        <v>0</v>
      </c>
      <c r="T27" s="82" t="s">
        <v>12</v>
      </c>
      <c r="U27" s="26" t="b">
        <v>0</v>
      </c>
      <c r="V27" s="26" t="b">
        <v>1</v>
      </c>
      <c r="W27" s="32" t="b">
        <v>0</v>
      </c>
      <c r="Y27" s="82" t="s">
        <v>28</v>
      </c>
      <c r="Z27" s="32" t="b">
        <v>0</v>
      </c>
      <c r="AF27" s="133"/>
      <c r="AG27" s="133"/>
    </row>
    <row r="28">
      <c r="A28" s="127"/>
      <c r="B28" s="82" t="str">
        <f t="shared" si="17"/>
        <v>Eat in</v>
      </c>
      <c r="C28" s="26" t="b">
        <v>0</v>
      </c>
      <c r="D28" s="26" t="b">
        <v>1</v>
      </c>
      <c r="E28" s="26" t="b">
        <v>1</v>
      </c>
      <c r="F28" s="26" t="b">
        <v>0</v>
      </c>
      <c r="G28" s="26" t="b">
        <v>0</v>
      </c>
      <c r="H28" s="26" t="b">
        <v>1</v>
      </c>
      <c r="I28" s="32" t="b">
        <v>0</v>
      </c>
      <c r="J28" s="30"/>
      <c r="K28" s="81" t="str">
        <f t="shared" si="18"/>
        <v>Eat in</v>
      </c>
      <c r="L28" s="26" t="b">
        <v>1</v>
      </c>
      <c r="M28" s="26" t="b">
        <v>1</v>
      </c>
      <c r="N28" s="26" t="b">
        <v>1</v>
      </c>
      <c r="O28" s="26" t="b">
        <v>1</v>
      </c>
      <c r="P28" s="26" t="b">
        <v>0</v>
      </c>
      <c r="Q28" s="26" t="b">
        <v>0</v>
      </c>
      <c r="R28" s="32" t="b">
        <v>0</v>
      </c>
      <c r="T28" s="82" t="s">
        <v>56</v>
      </c>
      <c r="U28" s="26" t="b">
        <v>1</v>
      </c>
      <c r="V28" s="26" t="b">
        <v>1</v>
      </c>
      <c r="W28" s="32" t="b">
        <v>0</v>
      </c>
      <c r="Y28" s="82" t="s">
        <v>47</v>
      </c>
      <c r="Z28" s="32" t="b">
        <v>1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0</v>
      </c>
      <c r="D29" s="26" t="b">
        <v>0</v>
      </c>
      <c r="E29" s="26" t="b">
        <v>1</v>
      </c>
      <c r="F29" s="26" t="b">
        <v>0</v>
      </c>
      <c r="G29" s="26" t="b">
        <v>1</v>
      </c>
      <c r="H29" s="26" t="b">
        <v>0</v>
      </c>
      <c r="I29" s="32" t="b">
        <v>1</v>
      </c>
      <c r="J29" s="30"/>
      <c r="K29" s="95" t="str">
        <f t="shared" si="18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1</v>
      </c>
      <c r="Q29" s="26" t="b">
        <v>0</v>
      </c>
      <c r="R29" s="32" t="b">
        <v>0</v>
      </c>
      <c r="T29" s="82" t="s">
        <v>16</v>
      </c>
      <c r="U29" s="26" t="b">
        <v>1</v>
      </c>
      <c r="V29" s="26" t="b">
        <v>1</v>
      </c>
      <c r="W29" s="32" t="b">
        <v>0</v>
      </c>
      <c r="Y29" s="82" t="s">
        <v>30</v>
      </c>
      <c r="Z29" s="32" t="b">
        <v>1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0</v>
      </c>
      <c r="D30" s="26" t="b">
        <v>0</v>
      </c>
      <c r="E30" s="26" t="b">
        <v>0</v>
      </c>
      <c r="F30" s="26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8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26" t="b">
        <v>1</v>
      </c>
      <c r="W30" s="32" t="b">
        <v>0</v>
      </c>
      <c r="Y30" s="82" t="s">
        <v>32</v>
      </c>
      <c r="Z30" s="32" t="b">
        <v>1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0</v>
      </c>
      <c r="E31" s="26" t="b">
        <v>0</v>
      </c>
      <c r="F31" s="26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26" t="b">
        <v>1</v>
      </c>
      <c r="W31" s="32" t="b">
        <v>0</v>
      </c>
      <c r="Y31" s="85" t="s">
        <v>34</v>
      </c>
      <c r="Z31" s="32" t="b">
        <v>1</v>
      </c>
      <c r="AF31" s="145"/>
      <c r="AG31" s="145"/>
    </row>
    <row r="32">
      <c r="A32" s="127"/>
      <c r="B32" s="82" t="str">
        <f t="shared" si="17"/>
        <v>7 hours sleep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1</v>
      </c>
      <c r="H32" s="26" t="b">
        <v>0</v>
      </c>
      <c r="I32" s="32" t="b">
        <v>1</v>
      </c>
      <c r="J32" s="30"/>
      <c r="K32" s="81" t="str">
        <f t="shared" si="18"/>
        <v>7 hours sleep</v>
      </c>
      <c r="L32" s="26" t="b">
        <v>0</v>
      </c>
      <c r="M32" s="26" t="b">
        <v>1</v>
      </c>
      <c r="N32" s="26" t="b">
        <v>0</v>
      </c>
      <c r="O32" s="26" t="b">
        <v>0</v>
      </c>
      <c r="P32" s="26" t="b">
        <v>1</v>
      </c>
      <c r="Q32" s="26" t="b">
        <v>0</v>
      </c>
      <c r="R32" s="32" t="b">
        <v>0</v>
      </c>
      <c r="T32" s="82" t="s">
        <v>22</v>
      </c>
      <c r="U32" s="26" t="b">
        <v>0</v>
      </c>
      <c r="V32" s="26" t="b">
        <v>0</v>
      </c>
      <c r="W32" s="32" t="b">
        <v>1</v>
      </c>
      <c r="Y32" s="91" t="s">
        <v>27</v>
      </c>
      <c r="Z32" s="92">
        <f>COUNTIF(Z27:Z31,True)/COUNTA(Z27:Z31)</f>
        <v>0.8</v>
      </c>
      <c r="AF32" s="71"/>
      <c r="AG32" s="71"/>
    </row>
    <row r="33">
      <c r="A33" s="127"/>
      <c r="B33" s="82" t="str">
        <f t="shared" si="17"/>
        <v>Clean (~20 min)</v>
      </c>
      <c r="C33" s="26" t="b">
        <v>0</v>
      </c>
      <c r="D33" s="26" t="b">
        <v>0</v>
      </c>
      <c r="E33" s="26" t="b">
        <v>1</v>
      </c>
      <c r="F33" s="26" t="b">
        <v>1</v>
      </c>
      <c r="G33" s="26" t="b">
        <v>0</v>
      </c>
      <c r="H33" s="26" t="b">
        <v>1</v>
      </c>
      <c r="I33" s="32" t="b">
        <v>1</v>
      </c>
      <c r="J33" s="30"/>
      <c r="K33" s="81" t="str">
        <f t="shared" si="18"/>
        <v>Clean (~20 min)</v>
      </c>
      <c r="L33" s="26" t="b">
        <v>1</v>
      </c>
      <c r="M33" s="26" t="b">
        <v>0</v>
      </c>
      <c r="N33" s="26" t="b">
        <v>1</v>
      </c>
      <c r="O33" s="26" t="b">
        <v>0</v>
      </c>
      <c r="P33" s="26" t="b">
        <v>1</v>
      </c>
      <c r="Q33" s="26" t="b">
        <v>0</v>
      </c>
      <c r="R33" s="32" t="b">
        <v>0</v>
      </c>
      <c r="T33" s="85" t="s">
        <v>24</v>
      </c>
      <c r="U33" s="38" t="b">
        <v>0</v>
      </c>
      <c r="V33" s="38" t="b">
        <v>0</v>
      </c>
      <c r="W33" s="32" t="b">
        <v>1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1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32" t="b">
        <v>0</v>
      </c>
      <c r="J34" s="30"/>
      <c r="K34" s="81" t="str">
        <f t="shared" si="18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W34" si="19">COUNTIF(U24:U33,True)/COUNTA(U24:U33)</f>
        <v>0.7</v>
      </c>
      <c r="V34" s="68">
        <f t="shared" si="19"/>
        <v>0.7</v>
      </c>
      <c r="W34" s="146">
        <f t="shared" si="19"/>
        <v>0.4</v>
      </c>
    </row>
    <row r="35">
      <c r="A35" s="133"/>
      <c r="B35" s="81" t="str">
        <f t="shared" si="17"/>
        <v>Vitamins</v>
      </c>
      <c r="C35" s="26" t="b">
        <v>1</v>
      </c>
      <c r="D35" s="26" t="b">
        <v>1</v>
      </c>
      <c r="E35" s="26" t="b">
        <v>1</v>
      </c>
      <c r="F35" s="26" t="b">
        <v>1</v>
      </c>
      <c r="G35" s="26" t="b">
        <v>1</v>
      </c>
      <c r="H35" s="26" t="b">
        <v>0</v>
      </c>
      <c r="I35" s="32" t="b">
        <v>0</v>
      </c>
      <c r="J35" s="30"/>
      <c r="K35" s="81" t="str">
        <f t="shared" si="18"/>
        <v>Vitamins</v>
      </c>
      <c r="L35" s="26" t="b">
        <v>1</v>
      </c>
      <c r="M35" s="26" t="b">
        <v>0</v>
      </c>
      <c r="N35" s="26" t="b">
        <v>1</v>
      </c>
      <c r="O35" s="26" t="b">
        <v>1</v>
      </c>
      <c r="P35" s="26" t="b">
        <v>0</v>
      </c>
      <c r="Q35" s="26" t="b">
        <v>0</v>
      </c>
      <c r="R35" s="32" t="b">
        <v>0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0.4166666667</v>
      </c>
      <c r="D37" s="44">
        <f t="shared" si="20"/>
        <v>0.4166666667</v>
      </c>
      <c r="E37" s="44">
        <f t="shared" si="20"/>
        <v>0.5</v>
      </c>
      <c r="F37" s="44">
        <f t="shared" si="20"/>
        <v>0.4166666667</v>
      </c>
      <c r="G37" s="44">
        <f t="shared" si="20"/>
        <v>0.3333333333</v>
      </c>
      <c r="H37" s="44">
        <f t="shared" si="20"/>
        <v>0.25</v>
      </c>
      <c r="I37" s="45">
        <f t="shared" si="20"/>
        <v>0.25</v>
      </c>
      <c r="J37" s="21"/>
      <c r="K37" s="134" t="s">
        <v>27</v>
      </c>
      <c r="L37" s="135">
        <f t="shared" ref="L37:R37" si="21">COUNTIF(L25:L36,True)/COUNTA(L25:L36)</f>
        <v>0.4166666667</v>
      </c>
      <c r="M37" s="135">
        <f t="shared" si="21"/>
        <v>0.3333333333</v>
      </c>
      <c r="N37" s="135">
        <f t="shared" si="21"/>
        <v>0.4166666667</v>
      </c>
      <c r="O37" s="135">
        <f t="shared" si="21"/>
        <v>0.3333333333</v>
      </c>
      <c r="P37" s="135">
        <f t="shared" si="21"/>
        <v>0.25</v>
      </c>
      <c r="Q37" s="135">
        <f t="shared" si="21"/>
        <v>0</v>
      </c>
      <c r="R37" s="135">
        <f t="shared" si="21"/>
        <v>0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f>C5</f>
        <v>45754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March2025!AF8+1</f>
        <v>45754</v>
      </c>
      <c r="D5" s="98">
        <f t="shared" ref="D5:I5" si="1">C5+1</f>
        <v>45755</v>
      </c>
      <c r="E5" s="98">
        <f t="shared" si="1"/>
        <v>45756</v>
      </c>
      <c r="F5" s="98">
        <f t="shared" si="1"/>
        <v>45757</v>
      </c>
      <c r="G5" s="98">
        <f t="shared" si="1"/>
        <v>45758</v>
      </c>
      <c r="H5" s="98">
        <f t="shared" si="1"/>
        <v>45759</v>
      </c>
      <c r="I5" s="125">
        <f t="shared" si="1"/>
        <v>45760</v>
      </c>
      <c r="J5" s="17"/>
      <c r="K5" s="126" t="s">
        <v>2</v>
      </c>
      <c r="L5" s="98">
        <f>I5+1</f>
        <v>45761</v>
      </c>
      <c r="M5" s="98">
        <f t="shared" ref="M5:R5" si="2">L5+1</f>
        <v>45762</v>
      </c>
      <c r="N5" s="98">
        <f t="shared" si="2"/>
        <v>45763</v>
      </c>
      <c r="O5" s="98">
        <f t="shared" si="2"/>
        <v>45764</v>
      </c>
      <c r="P5" s="98">
        <f t="shared" si="2"/>
        <v>45765</v>
      </c>
      <c r="Q5" s="98">
        <f t="shared" si="2"/>
        <v>45766</v>
      </c>
      <c r="R5" s="125">
        <f t="shared" si="2"/>
        <v>45767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1</v>
      </c>
      <c r="F7" s="28" t="b">
        <v>1</v>
      </c>
      <c r="G7" s="26" t="b">
        <v>1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0.197037037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84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1</v>
      </c>
      <c r="I9" s="32" t="b">
        <v>1</v>
      </c>
      <c r="J9" s="30"/>
      <c r="K9" s="81" t="str">
        <f t="shared" si="5"/>
        <v>Social Media (&lt;limit)</v>
      </c>
      <c r="L9" s="26" t="b">
        <v>1</v>
      </c>
      <c r="M9" s="26" t="b">
        <v>1</v>
      </c>
      <c r="N9" s="26" t="b">
        <v>1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1</v>
      </c>
      <c r="V9" s="32" t="b">
        <v>1</v>
      </c>
      <c r="X9" s="131">
        <f>X8 + March2025!AB4</f>
        <v>867</v>
      </c>
    </row>
    <row r="10">
      <c r="A10" s="128"/>
      <c r="B10" s="79" t="s">
        <v>11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1</v>
      </c>
    </row>
    <row r="11">
      <c r="A11" s="132"/>
      <c r="B11" s="95" t="s">
        <v>13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0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0</v>
      </c>
      <c r="V11" s="32" t="b">
        <v>0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0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1</v>
      </c>
      <c r="D14" s="26" t="b">
        <v>1</v>
      </c>
      <c r="E14" s="26" t="b">
        <v>1</v>
      </c>
      <c r="F14" s="26" t="b">
        <v>1</v>
      </c>
      <c r="G14" s="26" t="b">
        <v>1</v>
      </c>
      <c r="H14" s="26" t="b">
        <v>1</v>
      </c>
      <c r="I14" s="32" t="b">
        <v>1</v>
      </c>
      <c r="J14" s="30"/>
      <c r="K14" s="81" t="str">
        <f t="shared" si="5"/>
        <v>7 hours sleep</v>
      </c>
      <c r="L14" s="26" t="b">
        <v>1</v>
      </c>
      <c r="M14" s="26" t="b">
        <v>1</v>
      </c>
      <c r="N14" s="26" t="b">
        <v>0</v>
      </c>
      <c r="O14" s="26" t="b">
        <v>0</v>
      </c>
      <c r="P14" s="26" t="b">
        <v>0</v>
      </c>
      <c r="Q14" s="26" t="b">
        <v>0</v>
      </c>
      <c r="R14" s="32" t="b">
        <v>0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1</v>
      </c>
      <c r="I15" s="32" t="b">
        <v>1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1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1</v>
      </c>
      <c r="V15" s="32" t="b">
        <v>1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1</v>
      </c>
      <c r="T16" s="82" t="s">
        <v>20</v>
      </c>
      <c r="U16" s="26" t="b">
        <v>0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1</v>
      </c>
      <c r="V17" s="32" t="b">
        <v>1</v>
      </c>
      <c r="X17" s="82" t="s">
        <v>28</v>
      </c>
      <c r="Y17" s="32" t="b">
        <v>0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0.25</v>
      </c>
      <c r="D19" s="44">
        <f t="shared" si="6"/>
        <v>0.25</v>
      </c>
      <c r="E19" s="44">
        <f t="shared" si="6"/>
        <v>0.25</v>
      </c>
      <c r="F19" s="44">
        <f t="shared" si="6"/>
        <v>0.25</v>
      </c>
      <c r="G19" s="44">
        <f t="shared" si="6"/>
        <v>0.25</v>
      </c>
      <c r="H19" s="44">
        <f t="shared" si="6"/>
        <v>0.25</v>
      </c>
      <c r="I19" s="45">
        <f t="shared" si="6"/>
        <v>0.25</v>
      </c>
      <c r="J19" s="21"/>
      <c r="K19" s="89" t="s">
        <v>27</v>
      </c>
      <c r="L19" s="44">
        <f t="shared" ref="L19:R19" si="7">COUNTIF(L7:L18,True)/COUNTA(L7:L18)</f>
        <v>0.1666666667</v>
      </c>
      <c r="M19" s="44">
        <f t="shared" si="7"/>
        <v>0.1666666667</v>
      </c>
      <c r="N19" s="44">
        <f t="shared" si="7"/>
        <v>0.1666666667</v>
      </c>
      <c r="O19" s="44">
        <f t="shared" si="7"/>
        <v>0</v>
      </c>
      <c r="P19" s="44">
        <f t="shared" si="7"/>
        <v>0</v>
      </c>
      <c r="Q19" s="44">
        <f t="shared" si="7"/>
        <v>0</v>
      </c>
      <c r="R19" s="44">
        <f t="shared" si="7"/>
        <v>0.08333333333</v>
      </c>
      <c r="T19" s="88" t="s">
        <v>27</v>
      </c>
      <c r="U19" s="44">
        <f t="shared" ref="U19:V19" si="8">COUNTIF(U9:U18,True)/COUNTA(U9:U18)</f>
        <v>0.5</v>
      </c>
      <c r="V19" s="45">
        <f t="shared" si="8"/>
        <v>0.6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0.4</v>
      </c>
      <c r="Z22" s="56"/>
      <c r="AA22" s="56"/>
    </row>
    <row r="23">
      <c r="A23" s="127"/>
      <c r="B23" s="107" t="s">
        <v>35</v>
      </c>
      <c r="C23" s="97">
        <f>R5+1</f>
        <v>45768</v>
      </c>
      <c r="D23" s="108">
        <f t="shared" ref="D23:I23" si="9">C23+1</f>
        <v>45769</v>
      </c>
      <c r="E23" s="108">
        <f t="shared" si="9"/>
        <v>45770</v>
      </c>
      <c r="F23" s="108">
        <f t="shared" si="9"/>
        <v>45771</v>
      </c>
      <c r="G23" s="108">
        <f t="shared" si="9"/>
        <v>45772</v>
      </c>
      <c r="H23" s="108">
        <f t="shared" si="9"/>
        <v>45773</v>
      </c>
      <c r="I23" s="111">
        <f t="shared" si="9"/>
        <v>45774</v>
      </c>
      <c r="J23" s="52"/>
      <c r="K23" s="110" t="s">
        <v>36</v>
      </c>
      <c r="L23" s="108">
        <f>I23+1</f>
        <v>45775</v>
      </c>
      <c r="M23" s="108">
        <f t="shared" ref="M23:R23" si="10">L23+1</f>
        <v>45776</v>
      </c>
      <c r="N23" s="108">
        <f t="shared" si="10"/>
        <v>45777</v>
      </c>
      <c r="O23" s="108">
        <f t="shared" si="10"/>
        <v>45778</v>
      </c>
      <c r="P23" s="108">
        <f t="shared" si="10"/>
        <v>45779</v>
      </c>
      <c r="Q23" s="108">
        <f t="shared" si="10"/>
        <v>45780</v>
      </c>
      <c r="R23" s="111">
        <f t="shared" si="10"/>
        <v>45781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0</v>
      </c>
      <c r="V24" s="32" t="b">
        <v>0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0</v>
      </c>
      <c r="E25" s="27" t="b">
        <v>0</v>
      </c>
      <c r="F25" s="28" t="b">
        <v>0</v>
      </c>
      <c r="G25" s="27" t="b">
        <v>0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0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0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0</v>
      </c>
      <c r="D27" s="26" t="b">
        <v>0</v>
      </c>
      <c r="E27" s="26" t="b">
        <v>0</v>
      </c>
      <c r="F27" s="28" t="b">
        <v>0</v>
      </c>
      <c r="G27" s="27" t="b">
        <v>0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29" t="b">
        <v>0</v>
      </c>
      <c r="T27" s="82" t="s">
        <v>12</v>
      </c>
      <c r="U27" s="26" t="b">
        <v>0</v>
      </c>
      <c r="V27" s="32" t="b">
        <v>0</v>
      </c>
    </row>
    <row r="28">
      <c r="A28" s="127"/>
      <c r="B28" s="82" t="str">
        <f t="shared" si="13"/>
        <v>Eat in</v>
      </c>
      <c r="C28" s="26" t="b">
        <v>0</v>
      </c>
      <c r="D28" s="26" t="b">
        <v>0</v>
      </c>
      <c r="E28" s="26" t="b">
        <v>0</v>
      </c>
      <c r="F28" s="27" t="b">
        <v>0</v>
      </c>
      <c r="G28" s="26" t="b">
        <v>0</v>
      </c>
      <c r="H28" s="26" t="b">
        <v>0</v>
      </c>
      <c r="I28" s="29" t="b">
        <v>0</v>
      </c>
      <c r="J28" s="30"/>
      <c r="K28" s="81" t="str">
        <f t="shared" si="14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29" t="b">
        <v>0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0</v>
      </c>
      <c r="E29" s="26" t="b">
        <v>0</v>
      </c>
      <c r="F29" s="27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29" t="b">
        <v>0</v>
      </c>
      <c r="T29" s="82" t="s">
        <v>16</v>
      </c>
      <c r="U29" s="26" t="b">
        <v>0</v>
      </c>
      <c r="V29" s="32" t="b">
        <v>0</v>
      </c>
    </row>
    <row r="30">
      <c r="A30" s="127"/>
      <c r="B30" s="82" t="str">
        <f t="shared" si="13"/>
        <v>(2x)Brush+(1x)Floss</v>
      </c>
      <c r="C30" s="26" t="b">
        <v>0</v>
      </c>
      <c r="D30" s="26" t="b">
        <v>0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32" t="b">
        <v>0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0</v>
      </c>
    </row>
    <row r="32">
      <c r="A32" s="127"/>
      <c r="B32" s="82" t="str">
        <f t="shared" si="13"/>
        <v>7 hours sleep</v>
      </c>
      <c r="C32" s="26" t="b">
        <v>0</v>
      </c>
      <c r="D32" s="26" t="b">
        <v>0</v>
      </c>
      <c r="E32" s="27" t="b">
        <v>0</v>
      </c>
      <c r="F32" s="26" t="b">
        <v>1</v>
      </c>
      <c r="G32" s="27" t="b">
        <v>0</v>
      </c>
      <c r="H32" s="26" t="b">
        <v>0</v>
      </c>
      <c r="I32" s="32" t="b">
        <v>0</v>
      </c>
      <c r="J32" s="30"/>
      <c r="K32" s="81" t="str">
        <f t="shared" si="14"/>
        <v>7 hours sleep</v>
      </c>
      <c r="L32" s="26" t="b">
        <v>0</v>
      </c>
      <c r="M32" s="26" t="b">
        <v>0</v>
      </c>
      <c r="N32" s="26" t="b">
        <v>0</v>
      </c>
      <c r="O32" s="26" t="b">
        <v>0</v>
      </c>
      <c r="P32" s="26" t="b">
        <v>0</v>
      </c>
      <c r="Q32" s="26" t="b">
        <v>0</v>
      </c>
      <c r="R32" s="29" t="b">
        <v>0</v>
      </c>
      <c r="T32" s="82" t="s">
        <v>22</v>
      </c>
      <c r="U32" s="26" t="b">
        <v>0</v>
      </c>
      <c r="V32" s="32" t="b">
        <v>0</v>
      </c>
    </row>
    <row r="33">
      <c r="A33" s="127"/>
      <c r="B33" s="82" t="str">
        <f t="shared" si="13"/>
        <v>Clean (~20 min)</v>
      </c>
      <c r="C33" s="26" t="b">
        <v>0</v>
      </c>
      <c r="D33" s="26" t="b">
        <v>0</v>
      </c>
      <c r="E33" s="26" t="b">
        <v>0</v>
      </c>
      <c r="F33" s="27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4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29" t="b">
        <v>0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1</v>
      </c>
      <c r="D34" s="26" t="b">
        <v>0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1</v>
      </c>
      <c r="N34" s="26" t="b">
        <v>1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0.1</v>
      </c>
      <c r="V34" s="69">
        <f t="shared" si="15"/>
        <v>0.2</v>
      </c>
    </row>
    <row r="35">
      <c r="A35" s="133"/>
      <c r="B35" s="81" t="str">
        <f t="shared" si="13"/>
        <v>Vitamins</v>
      </c>
      <c r="C35" s="26" t="b">
        <v>0</v>
      </c>
      <c r="D35" s="26" t="b">
        <v>0</v>
      </c>
      <c r="E35" s="27" t="b">
        <v>0</v>
      </c>
      <c r="F35" s="27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4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29" t="b">
        <v>0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38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0.08333333333</v>
      </c>
      <c r="D37" s="44">
        <f t="shared" si="16"/>
        <v>0</v>
      </c>
      <c r="E37" s="44">
        <f t="shared" si="16"/>
        <v>0</v>
      </c>
      <c r="F37" s="44">
        <f t="shared" si="16"/>
        <v>0.08333333333</v>
      </c>
      <c r="G37" s="44">
        <f t="shared" si="16"/>
        <v>0</v>
      </c>
      <c r="H37" s="44">
        <f t="shared" si="16"/>
        <v>0</v>
      </c>
      <c r="I37" s="45">
        <f t="shared" si="16"/>
        <v>0</v>
      </c>
      <c r="J37" s="21"/>
      <c r="K37" s="89" t="s">
        <v>27</v>
      </c>
      <c r="L37" s="44">
        <f t="shared" ref="L37:R37" si="17">COUNTIF(L25:L36,True)/COUNTA(L25:L36)</f>
        <v>0</v>
      </c>
      <c r="M37" s="44">
        <f t="shared" si="17"/>
        <v>0.08333333333</v>
      </c>
      <c r="N37" s="44">
        <f t="shared" si="17"/>
        <v>0.08333333333</v>
      </c>
      <c r="O37" s="44">
        <f t="shared" si="17"/>
        <v>0</v>
      </c>
      <c r="P37" s="44">
        <f t="shared" si="17"/>
        <v>0</v>
      </c>
      <c r="Q37" s="44">
        <f t="shared" si="17"/>
        <v>0</v>
      </c>
      <c r="R37" s="44">
        <f t="shared" si="17"/>
        <v>0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f>C5</f>
        <v>45782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April2025!R23+1</f>
        <v>45782</v>
      </c>
      <c r="D5" s="98">
        <f t="shared" ref="D5:I5" si="1">C5+1</f>
        <v>45783</v>
      </c>
      <c r="E5" s="98">
        <f t="shared" si="1"/>
        <v>45784</v>
      </c>
      <c r="F5" s="98">
        <f t="shared" si="1"/>
        <v>45785</v>
      </c>
      <c r="G5" s="98">
        <f t="shared" si="1"/>
        <v>45786</v>
      </c>
      <c r="H5" s="98">
        <f t="shared" si="1"/>
        <v>45787</v>
      </c>
      <c r="I5" s="125">
        <f t="shared" si="1"/>
        <v>45788</v>
      </c>
      <c r="J5" s="17"/>
      <c r="K5" s="126" t="s">
        <v>2</v>
      </c>
      <c r="L5" s="98">
        <f>I5+1</f>
        <v>45789</v>
      </c>
      <c r="M5" s="98">
        <f t="shared" ref="M5:R5" si="2">L5+1</f>
        <v>45790</v>
      </c>
      <c r="N5" s="98">
        <f t="shared" si="2"/>
        <v>45791</v>
      </c>
      <c r="O5" s="98">
        <f t="shared" si="2"/>
        <v>45792</v>
      </c>
      <c r="P5" s="98">
        <f t="shared" si="2"/>
        <v>45793</v>
      </c>
      <c r="Q5" s="98">
        <f t="shared" si="2"/>
        <v>45794</v>
      </c>
      <c r="R5" s="125">
        <f t="shared" si="2"/>
        <v>45795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0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0.3088888889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132</v>
      </c>
    </row>
    <row r="9">
      <c r="A9" s="128"/>
      <c r="B9" s="79" t="s">
        <v>39</v>
      </c>
      <c r="C9" s="26" t="b">
        <v>0</v>
      </c>
      <c r="D9" s="26" t="b">
        <v>0</v>
      </c>
      <c r="E9" s="26" t="b">
        <v>0</v>
      </c>
      <c r="F9" s="28" t="b">
        <v>0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0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0</v>
      </c>
      <c r="V9" s="32" t="b">
        <v>0</v>
      </c>
      <c r="X9" s="131">
        <f>X8 + April2025!X9</f>
        <v>999</v>
      </c>
    </row>
    <row r="10">
      <c r="A10" s="128"/>
      <c r="B10" s="79" t="s">
        <v>11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0</v>
      </c>
    </row>
    <row r="11">
      <c r="A11" s="132"/>
      <c r="B11" s="95" t="s">
        <v>13</v>
      </c>
      <c r="C11" s="26" t="b">
        <v>1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0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1</v>
      </c>
      <c r="V11" s="32" t="b">
        <v>0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0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1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0</v>
      </c>
      <c r="M14" s="26" t="b">
        <v>0</v>
      </c>
      <c r="N14" s="26" t="b">
        <v>0</v>
      </c>
      <c r="O14" s="26" t="b">
        <v>0</v>
      </c>
      <c r="P14" s="26" t="b">
        <v>0</v>
      </c>
      <c r="Q14" s="26" t="b">
        <v>0</v>
      </c>
      <c r="R14" s="32" t="b">
        <v>0</v>
      </c>
      <c r="T14" s="82" t="s">
        <v>16</v>
      </c>
      <c r="U14" s="26" t="b">
        <v>1</v>
      </c>
      <c r="V14" s="32" t="b">
        <v>1</v>
      </c>
    </row>
    <row r="15">
      <c r="A15" s="128"/>
      <c r="B15" s="79" t="s">
        <v>21</v>
      </c>
      <c r="C15" s="26" t="b">
        <v>1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0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1</v>
      </c>
      <c r="V15" s="32" t="b">
        <v>1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1</v>
      </c>
      <c r="X16" s="40" t="s">
        <v>25</v>
      </c>
      <c r="Y16" s="41"/>
    </row>
    <row r="17">
      <c r="A17" s="133"/>
      <c r="B17" s="81" t="s">
        <v>26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0</v>
      </c>
      <c r="V17" s="32" t="b">
        <v>0</v>
      </c>
      <c r="X17" s="82" t="s">
        <v>28</v>
      </c>
      <c r="Y17" s="32" t="b">
        <v>1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0.25</v>
      </c>
      <c r="D19" s="44">
        <f t="shared" si="6"/>
        <v>0</v>
      </c>
      <c r="E19" s="44">
        <f t="shared" si="6"/>
        <v>0</v>
      </c>
      <c r="F19" s="44">
        <f t="shared" si="6"/>
        <v>0</v>
      </c>
      <c r="G19" s="44">
        <f t="shared" si="6"/>
        <v>0</v>
      </c>
      <c r="H19" s="44">
        <f t="shared" si="6"/>
        <v>0</v>
      </c>
      <c r="I19" s="45">
        <f t="shared" si="6"/>
        <v>0</v>
      </c>
      <c r="J19" s="21"/>
      <c r="K19" s="89" t="s">
        <v>27</v>
      </c>
      <c r="L19" s="44">
        <f t="shared" ref="L19:R19" si="7">COUNTIF(L7:L18,True)/COUNTA(L7:L18)</f>
        <v>0</v>
      </c>
      <c r="M19" s="44">
        <f t="shared" si="7"/>
        <v>0</v>
      </c>
      <c r="N19" s="44">
        <f t="shared" si="7"/>
        <v>0</v>
      </c>
      <c r="O19" s="44">
        <f t="shared" si="7"/>
        <v>0</v>
      </c>
      <c r="P19" s="44">
        <f t="shared" si="7"/>
        <v>0</v>
      </c>
      <c r="Q19" s="44">
        <f t="shared" si="7"/>
        <v>0</v>
      </c>
      <c r="R19" s="44">
        <f t="shared" si="7"/>
        <v>0</v>
      </c>
      <c r="T19" s="88" t="s">
        <v>27</v>
      </c>
      <c r="U19" s="44">
        <f t="shared" ref="U19:V19" si="8">COUNTIF(U9:U18,True)/COUNTA(U9:U18)</f>
        <v>0.5</v>
      </c>
      <c r="V19" s="45">
        <f t="shared" si="8"/>
        <v>0.3</v>
      </c>
      <c r="X19" s="82" t="s">
        <v>30</v>
      </c>
      <c r="Y19" s="32" t="b">
        <v>1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1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0.6</v>
      </c>
      <c r="Z22" s="56"/>
      <c r="AA22" s="56"/>
    </row>
    <row r="23">
      <c r="A23" s="127"/>
      <c r="B23" s="107" t="s">
        <v>35</v>
      </c>
      <c r="C23" s="97">
        <f>R5+1</f>
        <v>45796</v>
      </c>
      <c r="D23" s="108">
        <f t="shared" ref="D23:I23" si="9">C23+1</f>
        <v>45797</v>
      </c>
      <c r="E23" s="108">
        <f t="shared" si="9"/>
        <v>45798</v>
      </c>
      <c r="F23" s="108">
        <f t="shared" si="9"/>
        <v>45799</v>
      </c>
      <c r="G23" s="108">
        <f t="shared" si="9"/>
        <v>45800</v>
      </c>
      <c r="H23" s="108">
        <f t="shared" si="9"/>
        <v>45801</v>
      </c>
      <c r="I23" s="111">
        <f t="shared" si="9"/>
        <v>45802</v>
      </c>
      <c r="J23" s="52"/>
      <c r="K23" s="110" t="s">
        <v>36</v>
      </c>
      <c r="L23" s="108">
        <f>I23+1</f>
        <v>45803</v>
      </c>
      <c r="M23" s="108">
        <f t="shared" ref="M23:R23" si="10">L23+1</f>
        <v>45804</v>
      </c>
      <c r="N23" s="108">
        <f t="shared" si="10"/>
        <v>45805</v>
      </c>
      <c r="O23" s="108">
        <f t="shared" si="10"/>
        <v>45806</v>
      </c>
      <c r="P23" s="108">
        <f t="shared" si="10"/>
        <v>45807</v>
      </c>
      <c r="Q23" s="108">
        <f t="shared" si="10"/>
        <v>45808</v>
      </c>
      <c r="R23" s="111">
        <f t="shared" si="10"/>
        <v>45809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1</v>
      </c>
      <c r="V24" s="32" t="b">
        <v>1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0</v>
      </c>
      <c r="E25" s="27" t="b">
        <v>0</v>
      </c>
      <c r="F25" s="28" t="b">
        <v>0</v>
      </c>
      <c r="G25" s="27" t="b">
        <v>0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1</v>
      </c>
      <c r="M25" s="26" t="b">
        <v>1</v>
      </c>
      <c r="N25" s="26" t="b">
        <v>0</v>
      </c>
      <c r="O25" s="26" t="b">
        <v>1</v>
      </c>
      <c r="P25" s="26" t="b">
        <v>1</v>
      </c>
      <c r="Q25" s="26" t="b">
        <v>0</v>
      </c>
      <c r="R25" s="29" t="b">
        <v>0</v>
      </c>
      <c r="T25" s="82" t="s">
        <v>8</v>
      </c>
      <c r="U25" s="26" t="b">
        <v>1</v>
      </c>
      <c r="V25" s="32" t="b">
        <v>1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1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1</v>
      </c>
      <c r="V26" s="32" t="b">
        <v>1</v>
      </c>
    </row>
    <row r="27">
      <c r="A27" s="127"/>
      <c r="B27" s="82" t="str">
        <f t="shared" si="13"/>
        <v>Social Media (&lt;limit)</v>
      </c>
      <c r="C27" s="26" t="b">
        <v>0</v>
      </c>
      <c r="D27" s="26" t="b">
        <v>0</v>
      </c>
      <c r="E27" s="26" t="b">
        <v>0</v>
      </c>
      <c r="F27" s="28" t="b">
        <v>1</v>
      </c>
      <c r="G27" s="26" t="b">
        <v>1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1</v>
      </c>
      <c r="M27" s="26" t="b">
        <v>1</v>
      </c>
      <c r="N27" s="26" t="b">
        <v>1</v>
      </c>
      <c r="O27" s="26" t="b">
        <v>0</v>
      </c>
      <c r="P27" s="26" t="b">
        <v>0</v>
      </c>
      <c r="Q27" s="26" t="b">
        <v>0</v>
      </c>
      <c r="R27" s="29" t="b">
        <v>0</v>
      </c>
      <c r="T27" s="82" t="s">
        <v>12</v>
      </c>
      <c r="U27" s="26" t="b">
        <v>0</v>
      </c>
      <c r="V27" s="32" t="b">
        <v>0</v>
      </c>
    </row>
    <row r="28">
      <c r="A28" s="127"/>
      <c r="B28" s="82" t="str">
        <f t="shared" si="13"/>
        <v>Eat in</v>
      </c>
      <c r="C28" s="26" t="b">
        <v>0</v>
      </c>
      <c r="D28" s="26" t="b">
        <v>0</v>
      </c>
      <c r="E28" s="26" t="b">
        <v>0</v>
      </c>
      <c r="F28" s="27" t="b">
        <v>0</v>
      </c>
      <c r="G28" s="26" t="b">
        <v>1</v>
      </c>
      <c r="H28" s="26" t="b">
        <v>1</v>
      </c>
      <c r="I28" s="32" t="b">
        <v>1</v>
      </c>
      <c r="J28" s="30"/>
      <c r="K28" s="81" t="str">
        <f t="shared" si="14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1</v>
      </c>
      <c r="Q28" s="26" t="b">
        <v>0</v>
      </c>
      <c r="R28" s="29" t="b">
        <v>0</v>
      </c>
      <c r="T28" s="82" t="s">
        <v>56</v>
      </c>
      <c r="U28" s="26" t="b">
        <v>1</v>
      </c>
      <c r="V28" s="32" t="b">
        <v>1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0</v>
      </c>
      <c r="E29" s="26" t="b">
        <v>1</v>
      </c>
      <c r="F29" s="27" t="b">
        <v>0</v>
      </c>
      <c r="G29" s="26" t="b">
        <v>0</v>
      </c>
      <c r="H29" s="26" t="b">
        <v>1</v>
      </c>
      <c r="I29" s="32" t="b">
        <v>1</v>
      </c>
      <c r="J29" s="30"/>
      <c r="K29" s="95" t="str">
        <f t="shared" si="14"/>
        <v>Review Budget/Goals</v>
      </c>
      <c r="L29" s="26" t="b">
        <v>0</v>
      </c>
      <c r="M29" s="26" t="b">
        <v>0</v>
      </c>
      <c r="N29" s="26" t="b">
        <v>0</v>
      </c>
      <c r="O29" s="26" t="b">
        <v>1</v>
      </c>
      <c r="P29" s="26" t="b">
        <v>0</v>
      </c>
      <c r="Q29" s="26" t="b">
        <v>1</v>
      </c>
      <c r="R29" s="32" t="b">
        <v>1</v>
      </c>
      <c r="T29" s="82" t="s">
        <v>16</v>
      </c>
      <c r="U29" s="26" t="b">
        <v>1</v>
      </c>
      <c r="V29" s="32" t="b">
        <v>1</v>
      </c>
    </row>
    <row r="30">
      <c r="A30" s="127"/>
      <c r="B30" s="82" t="str">
        <f t="shared" si="13"/>
        <v>(2x)Brush+(1x)Floss</v>
      </c>
      <c r="C30" s="26" t="b">
        <v>0</v>
      </c>
      <c r="D30" s="26" t="b">
        <v>0</v>
      </c>
      <c r="E30" s="26" t="b">
        <v>1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1</v>
      </c>
      <c r="V30" s="32" t="b">
        <v>1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1</v>
      </c>
      <c r="Q31" s="26" t="b">
        <v>0</v>
      </c>
      <c r="R31" s="29" t="b">
        <v>0</v>
      </c>
      <c r="T31" s="82" t="s">
        <v>20</v>
      </c>
      <c r="U31" s="26" t="b">
        <v>1</v>
      </c>
      <c r="V31" s="32" t="b">
        <v>1</v>
      </c>
    </row>
    <row r="32">
      <c r="A32" s="127"/>
      <c r="B32" s="82" t="str">
        <f t="shared" si="13"/>
        <v>7 hours sleep</v>
      </c>
      <c r="C32" s="26" t="b">
        <v>0</v>
      </c>
      <c r="D32" s="26" t="b">
        <v>0</v>
      </c>
      <c r="E32" s="26" t="b">
        <v>1</v>
      </c>
      <c r="F32" s="26" t="b">
        <v>1</v>
      </c>
      <c r="G32" s="26" t="b">
        <v>1</v>
      </c>
      <c r="H32" s="26" t="b">
        <v>1</v>
      </c>
      <c r="I32" s="32" t="b">
        <v>1</v>
      </c>
      <c r="J32" s="30"/>
      <c r="K32" s="81" t="str">
        <f t="shared" si="14"/>
        <v>7 hours sleep</v>
      </c>
      <c r="L32" s="26" t="b">
        <v>0</v>
      </c>
      <c r="M32" s="26" t="b">
        <v>0</v>
      </c>
      <c r="N32" s="26" t="b">
        <v>0</v>
      </c>
      <c r="O32" s="26" t="b">
        <v>1</v>
      </c>
      <c r="P32" s="26" t="b">
        <v>0</v>
      </c>
      <c r="Q32" s="26" t="b">
        <v>1</v>
      </c>
      <c r="R32" s="32" t="b">
        <v>1</v>
      </c>
      <c r="T32" s="82" t="s">
        <v>22</v>
      </c>
      <c r="U32" s="26" t="b">
        <v>1</v>
      </c>
      <c r="V32" s="32" t="b">
        <v>0</v>
      </c>
    </row>
    <row r="33">
      <c r="A33" s="127"/>
      <c r="B33" s="82" t="str">
        <f t="shared" si="13"/>
        <v>Clean (~20 min)</v>
      </c>
      <c r="C33" s="26" t="b">
        <v>0</v>
      </c>
      <c r="D33" s="26" t="b">
        <v>0</v>
      </c>
      <c r="E33" s="26" t="b">
        <v>1</v>
      </c>
      <c r="F33" s="27" t="b">
        <v>0</v>
      </c>
      <c r="G33" s="26" t="b">
        <v>1</v>
      </c>
      <c r="H33" s="26" t="b">
        <v>1</v>
      </c>
      <c r="I33" s="32" t="b">
        <v>1</v>
      </c>
      <c r="J33" s="30"/>
      <c r="K33" s="81" t="str">
        <f t="shared" si="14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1</v>
      </c>
      <c r="Q33" s="26" t="b">
        <v>1</v>
      </c>
      <c r="R33" s="29" t="b">
        <v>0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0</v>
      </c>
      <c r="D34" s="26" t="b">
        <v>0</v>
      </c>
      <c r="E34" s="26" t="b">
        <v>1</v>
      </c>
      <c r="F34" s="27" t="b">
        <v>0</v>
      </c>
      <c r="G34" s="26" t="b">
        <v>1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1</v>
      </c>
      <c r="R34" s="29" t="b">
        <v>0</v>
      </c>
      <c r="T34" s="88" t="s">
        <v>27</v>
      </c>
      <c r="U34" s="68">
        <f t="shared" ref="U34:V34" si="15">COUNTIF(U24:U33,True)/COUNTA(U24:U33)</f>
        <v>0.8</v>
      </c>
      <c r="V34" s="69">
        <f t="shared" si="15"/>
        <v>0.7</v>
      </c>
    </row>
    <row r="35">
      <c r="A35" s="133"/>
      <c r="B35" s="81" t="str">
        <f t="shared" si="13"/>
        <v>Vitamins</v>
      </c>
      <c r="C35" s="26" t="b">
        <v>0</v>
      </c>
      <c r="D35" s="26" t="b">
        <v>0</v>
      </c>
      <c r="E35" s="27" t="b">
        <v>0</v>
      </c>
      <c r="F35" s="27" t="b">
        <v>0</v>
      </c>
      <c r="G35" s="26" t="b">
        <v>0</v>
      </c>
      <c r="H35" s="26" t="b">
        <v>0</v>
      </c>
      <c r="I35" s="32" t="b">
        <v>1</v>
      </c>
      <c r="J35" s="30"/>
      <c r="K35" s="81" t="str">
        <f t="shared" si="14"/>
        <v>Vitamins</v>
      </c>
      <c r="L35" s="26" t="b">
        <v>0</v>
      </c>
      <c r="M35" s="26" t="b">
        <v>1</v>
      </c>
      <c r="N35" s="26" t="b">
        <v>1</v>
      </c>
      <c r="O35" s="26" t="b">
        <v>1</v>
      </c>
      <c r="P35" s="26" t="b">
        <v>1</v>
      </c>
      <c r="Q35" s="26" t="b">
        <v>1</v>
      </c>
      <c r="R35" s="29" t="b">
        <v>0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38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</v>
      </c>
      <c r="D37" s="44">
        <f t="shared" si="16"/>
        <v>0</v>
      </c>
      <c r="E37" s="44">
        <f t="shared" si="16"/>
        <v>0.4166666667</v>
      </c>
      <c r="F37" s="44">
        <f t="shared" si="16"/>
        <v>0.1666666667</v>
      </c>
      <c r="G37" s="44">
        <f t="shared" si="16"/>
        <v>0.4166666667</v>
      </c>
      <c r="H37" s="44">
        <f t="shared" si="16"/>
        <v>0.3333333333</v>
      </c>
      <c r="I37" s="45">
        <f t="shared" si="16"/>
        <v>0.4166666667</v>
      </c>
      <c r="J37" s="21"/>
      <c r="K37" s="89" t="s">
        <v>27</v>
      </c>
      <c r="L37" s="44">
        <f t="shared" ref="L37:R37" si="17">COUNTIF(L25:L36,True)/COUNTA(L25:L36)</f>
        <v>0.25</v>
      </c>
      <c r="M37" s="44">
        <f t="shared" si="17"/>
        <v>0.25</v>
      </c>
      <c r="N37" s="44">
        <f t="shared" si="17"/>
        <v>0.1666666667</v>
      </c>
      <c r="O37" s="44">
        <f t="shared" si="17"/>
        <v>0.3333333333</v>
      </c>
      <c r="P37" s="44">
        <f t="shared" si="17"/>
        <v>0.4166666667</v>
      </c>
      <c r="Q37" s="44">
        <f t="shared" si="17"/>
        <v>0.4166666667</v>
      </c>
      <c r="R37" s="44">
        <f t="shared" si="17"/>
        <v>0.1666666667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0.3154545455</v>
      </c>
    </row>
    <row r="3">
      <c r="A3" s="120"/>
      <c r="B3" s="8">
        <f>C5</f>
        <v>45810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160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'May2025'!X9</f>
        <v>1159</v>
      </c>
    </row>
    <row r="5">
      <c r="A5" s="124"/>
      <c r="B5" s="96" t="s">
        <v>1</v>
      </c>
      <c r="C5" s="97">
        <f>'May2025'!R23+1</f>
        <v>45810</v>
      </c>
      <c r="D5" s="98">
        <f t="shared" ref="D5:I5" si="1">C5+1</f>
        <v>45811</v>
      </c>
      <c r="E5" s="98">
        <f t="shared" si="1"/>
        <v>45812</v>
      </c>
      <c r="F5" s="98">
        <f t="shared" si="1"/>
        <v>45813</v>
      </c>
      <c r="G5" s="98">
        <f t="shared" si="1"/>
        <v>45814</v>
      </c>
      <c r="H5" s="98">
        <f t="shared" si="1"/>
        <v>45815</v>
      </c>
      <c r="I5" s="125">
        <f t="shared" si="1"/>
        <v>45816</v>
      </c>
      <c r="J5" s="17"/>
      <c r="K5" s="126" t="s">
        <v>2</v>
      </c>
      <c r="L5" s="98">
        <f>I5+1</f>
        <v>45817</v>
      </c>
      <c r="M5" s="98">
        <f t="shared" ref="M5:R5" si="2">L5+1</f>
        <v>45818</v>
      </c>
      <c r="N5" s="98">
        <f t="shared" si="2"/>
        <v>45819</v>
      </c>
      <c r="O5" s="98">
        <f t="shared" si="2"/>
        <v>45820</v>
      </c>
      <c r="P5" s="98">
        <f t="shared" si="2"/>
        <v>45821</v>
      </c>
      <c r="Q5" s="98">
        <f t="shared" si="2"/>
        <v>45822</v>
      </c>
      <c r="R5" s="125">
        <f t="shared" si="2"/>
        <v>45823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1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1</v>
      </c>
      <c r="M7" s="26" t="b">
        <v>1</v>
      </c>
      <c r="N7" s="26" t="b">
        <v>1</v>
      </c>
      <c r="O7" s="26" t="b">
        <v>1</v>
      </c>
      <c r="P7" s="26" t="b">
        <v>0</v>
      </c>
      <c r="Q7" s="26" t="b">
        <v>0</v>
      </c>
      <c r="R7" s="32" t="b"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45838</v>
      </c>
      <c r="AA8" s="108">
        <f t="shared" ref="AA8:AF8" si="6">Z8+1</f>
        <v>45839</v>
      </c>
      <c r="AB8" s="108">
        <f t="shared" si="6"/>
        <v>45840</v>
      </c>
      <c r="AC8" s="108">
        <f t="shared" si="6"/>
        <v>45841</v>
      </c>
      <c r="AD8" s="108">
        <f t="shared" si="6"/>
        <v>45842</v>
      </c>
      <c r="AE8" s="108">
        <f t="shared" si="6"/>
        <v>45843</v>
      </c>
      <c r="AF8" s="111">
        <f t="shared" si="6"/>
        <v>45844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1</v>
      </c>
      <c r="F9" s="28" t="b">
        <v>1</v>
      </c>
      <c r="G9" s="26" t="b">
        <v>1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0</v>
      </c>
      <c r="M9" s="26" t="b">
        <v>1</v>
      </c>
      <c r="N9" s="26" t="b">
        <v>1</v>
      </c>
      <c r="O9" s="26" t="b">
        <v>1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1</v>
      </c>
      <c r="V9" s="32" t="b">
        <v>0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0</v>
      </c>
      <c r="D10" s="26" t="b">
        <v>1</v>
      </c>
      <c r="E10" s="26" t="b">
        <v>1</v>
      </c>
      <c r="F10" s="26" t="b">
        <v>1</v>
      </c>
      <c r="G10" s="26" t="b">
        <v>1</v>
      </c>
      <c r="H10" s="26" t="b">
        <v>1</v>
      </c>
      <c r="I10" s="32" t="b">
        <v>0</v>
      </c>
      <c r="J10" s="30"/>
      <c r="K10" s="81" t="str">
        <f t="shared" si="5"/>
        <v>Eat in</v>
      </c>
      <c r="L10" s="26" t="b">
        <v>1</v>
      </c>
      <c r="M10" s="26" t="b">
        <v>1</v>
      </c>
      <c r="N10" s="26" t="b">
        <v>0</v>
      </c>
      <c r="O10" s="26" t="b">
        <v>1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1</v>
      </c>
      <c r="V10" s="32" t="b">
        <v>0</v>
      </c>
      <c r="Y10" s="81" t="str">
        <f t="shared" ref="Y10:Y20" si="8">K7</f>
        <v>Exercise</v>
      </c>
      <c r="Z10" s="26" t="b">
        <v>0</v>
      </c>
      <c r="AA10" s="26" t="b">
        <v>1</v>
      </c>
      <c r="AB10" s="26" t="b">
        <v>1</v>
      </c>
      <c r="AC10" s="26" t="b">
        <v>0</v>
      </c>
      <c r="AD10" s="26" t="b">
        <v>1</v>
      </c>
      <c r="AE10" s="26" t="b">
        <v>1</v>
      </c>
      <c r="AF10" s="32" t="b">
        <v>1</v>
      </c>
      <c r="AG10" s="133"/>
    </row>
    <row r="11">
      <c r="A11" s="132"/>
      <c r="B11" s="95" t="s">
        <v>13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1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1</v>
      </c>
      <c r="O11" s="26" t="b">
        <v>1</v>
      </c>
      <c r="P11" s="26" t="b">
        <v>0</v>
      </c>
      <c r="Q11" s="26" t="b">
        <v>1</v>
      </c>
      <c r="R11" s="32" t="b">
        <v>0</v>
      </c>
      <c r="T11" s="82" t="s">
        <v>10</v>
      </c>
      <c r="U11" s="26" t="b">
        <v>1</v>
      </c>
      <c r="V11" s="32" t="b">
        <v>0</v>
      </c>
      <c r="Y11" s="81" t="str">
        <f t="shared" si="8"/>
        <v>Stretch/Yoga (&gt;20min)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29" t="b">
        <v>0</v>
      </c>
      <c r="AG11" s="133"/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1</v>
      </c>
      <c r="V12" s="32" t="b">
        <v>0</v>
      </c>
      <c r="Y12" s="81" t="str">
        <f t="shared" si="8"/>
        <v>Social Media (&lt;limit)</v>
      </c>
      <c r="Z12" s="26" t="b">
        <v>1</v>
      </c>
      <c r="AA12" s="26" t="b">
        <v>1</v>
      </c>
      <c r="AB12" s="26" t="b">
        <v>1</v>
      </c>
      <c r="AC12" s="26" t="b">
        <v>0</v>
      </c>
      <c r="AD12" s="26" t="b">
        <v>0</v>
      </c>
      <c r="AE12" s="26" t="b">
        <v>1</v>
      </c>
      <c r="AF12" s="32" t="b">
        <v>0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1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56</v>
      </c>
      <c r="U13" s="26" t="b">
        <v>1</v>
      </c>
      <c r="V13" s="32" t="b">
        <v>0</v>
      </c>
      <c r="Y13" s="81" t="str">
        <f t="shared" si="8"/>
        <v>Eat in</v>
      </c>
      <c r="Z13" s="26" t="b">
        <v>1</v>
      </c>
      <c r="AA13" s="26" t="b">
        <v>0</v>
      </c>
      <c r="AB13" s="26" t="b">
        <v>0</v>
      </c>
      <c r="AC13" s="26" t="b">
        <v>1</v>
      </c>
      <c r="AD13" s="26" t="b">
        <v>1</v>
      </c>
      <c r="AE13" s="26" t="b">
        <v>0</v>
      </c>
      <c r="AF13" s="32" t="b">
        <v>1</v>
      </c>
      <c r="AG13" s="133"/>
    </row>
    <row r="14">
      <c r="A14" s="128"/>
      <c r="B14" s="79" t="s">
        <v>19</v>
      </c>
      <c r="C14" s="26" t="b">
        <v>0</v>
      </c>
      <c r="D14" s="26" t="b">
        <v>0</v>
      </c>
      <c r="E14" s="26" t="b">
        <v>0</v>
      </c>
      <c r="F14" s="26" t="b">
        <v>1</v>
      </c>
      <c r="G14" s="26" t="b">
        <v>1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0</v>
      </c>
      <c r="M14" s="26" t="b">
        <v>0</v>
      </c>
      <c r="N14" s="26" t="b">
        <v>0</v>
      </c>
      <c r="O14" s="26" t="b">
        <v>0</v>
      </c>
      <c r="P14" s="26" t="b">
        <v>1</v>
      </c>
      <c r="Q14" s="26" t="b">
        <v>1</v>
      </c>
      <c r="R14" s="32" t="b">
        <v>0</v>
      </c>
      <c r="T14" s="82" t="s">
        <v>16</v>
      </c>
      <c r="U14" s="26" t="b">
        <v>1</v>
      </c>
      <c r="V14" s="32" t="b">
        <v>1</v>
      </c>
      <c r="Y14" s="95" t="str">
        <f t="shared" si="8"/>
        <v>Review Budget/Goals</v>
      </c>
      <c r="Z14" s="26" t="b">
        <v>0</v>
      </c>
      <c r="AA14" s="26" t="b">
        <v>0</v>
      </c>
      <c r="AB14" s="26" t="b">
        <v>0</v>
      </c>
      <c r="AC14" s="26" t="b">
        <v>0</v>
      </c>
      <c r="AD14" s="26" t="b">
        <v>0</v>
      </c>
      <c r="AE14" s="26" t="b">
        <v>1</v>
      </c>
      <c r="AF14" s="32" t="b">
        <v>0</v>
      </c>
      <c r="AG14" s="133"/>
    </row>
    <row r="15">
      <c r="A15" s="128"/>
      <c r="B15" s="79" t="s">
        <v>21</v>
      </c>
      <c r="C15" s="26" t="b">
        <v>1</v>
      </c>
      <c r="D15" s="26" t="b">
        <v>0</v>
      </c>
      <c r="E15" s="26" t="b">
        <v>0</v>
      </c>
      <c r="F15" s="26" t="b">
        <v>1</v>
      </c>
      <c r="G15" s="26" t="b">
        <v>1</v>
      </c>
      <c r="H15" s="26" t="b">
        <v>1</v>
      </c>
      <c r="I15" s="32" t="b">
        <v>0</v>
      </c>
      <c r="J15" s="30"/>
      <c r="K15" s="81" t="str">
        <f t="shared" si="5"/>
        <v>Clean (~20 min)</v>
      </c>
      <c r="L15" s="26" t="b">
        <v>1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1</v>
      </c>
      <c r="R15" s="32" t="b">
        <v>0</v>
      </c>
      <c r="T15" s="82" t="s">
        <v>18</v>
      </c>
      <c r="U15" s="26" t="b">
        <v>1</v>
      </c>
      <c r="V15" s="32" t="b">
        <v>0</v>
      </c>
      <c r="Y15" s="81" t="str">
        <f t="shared" si="8"/>
        <v>(2x)Brush+(1x)Floss</v>
      </c>
      <c r="Z15" s="26" t="b">
        <v>0</v>
      </c>
      <c r="AA15" s="26" t="b">
        <v>0</v>
      </c>
      <c r="AB15" s="26" t="b">
        <v>0</v>
      </c>
      <c r="AC15" s="26" t="b">
        <v>0</v>
      </c>
      <c r="AD15" s="26" t="b">
        <v>0</v>
      </c>
      <c r="AE15" s="26" t="b">
        <v>0</v>
      </c>
      <c r="AF15" s="32" t="b">
        <v>0</v>
      </c>
      <c r="AG15" s="133"/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1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1</v>
      </c>
      <c r="V16" s="32" t="b">
        <v>0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1</v>
      </c>
      <c r="D17" s="26" t="b">
        <v>1</v>
      </c>
      <c r="E17" s="26" t="b">
        <v>0</v>
      </c>
      <c r="F17" s="26" t="b">
        <v>0</v>
      </c>
      <c r="G17" s="26" t="b">
        <v>1</v>
      </c>
      <c r="H17" s="26" t="b">
        <v>1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1</v>
      </c>
      <c r="N17" s="26" t="b">
        <v>1</v>
      </c>
      <c r="O17" s="26" t="b">
        <v>1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1</v>
      </c>
      <c r="V17" s="32" t="b">
        <v>0</v>
      </c>
      <c r="Y17" s="81" t="str">
        <f t="shared" si="8"/>
        <v>7 hours sleep</v>
      </c>
      <c r="Z17" s="26" t="b">
        <v>0</v>
      </c>
      <c r="AA17" s="26" t="b">
        <v>0</v>
      </c>
      <c r="AB17" s="26" t="b">
        <v>0</v>
      </c>
      <c r="AC17" s="26" t="b">
        <v>0</v>
      </c>
      <c r="AD17" s="26" t="b">
        <v>0</v>
      </c>
      <c r="AE17" s="26" t="b">
        <v>1</v>
      </c>
      <c r="AF17" s="32" t="b">
        <v>1</v>
      </c>
      <c r="AG17" s="133"/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Y18" s="81" t="str">
        <f t="shared" si="8"/>
        <v>Clean (~20 min)</v>
      </c>
      <c r="Z18" s="26" t="b">
        <v>0</v>
      </c>
      <c r="AA18" s="26" t="b">
        <v>0</v>
      </c>
      <c r="AB18" s="26" t="b">
        <v>0</v>
      </c>
      <c r="AC18" s="26" t="b">
        <v>0</v>
      </c>
      <c r="AD18" s="26" t="b">
        <v>0</v>
      </c>
      <c r="AE18" s="26" t="b">
        <v>1</v>
      </c>
      <c r="AF18" s="32" t="b">
        <v>1</v>
      </c>
      <c r="AG18" s="133"/>
    </row>
    <row r="19">
      <c r="A19" s="127"/>
      <c r="B19" s="88" t="s">
        <v>27</v>
      </c>
      <c r="C19" s="44">
        <f t="shared" ref="C19:I19" si="9">COUNTIF(C7:C18,True)/COUNTA(C7:C18)</f>
        <v>0.3333333333</v>
      </c>
      <c r="D19" s="44">
        <f t="shared" si="9"/>
        <v>0.3333333333</v>
      </c>
      <c r="E19" s="44">
        <f t="shared" si="9"/>
        <v>0.25</v>
      </c>
      <c r="F19" s="44">
        <f t="shared" si="9"/>
        <v>0.3333333333</v>
      </c>
      <c r="G19" s="44">
        <f t="shared" si="9"/>
        <v>0.4166666667</v>
      </c>
      <c r="H19" s="44">
        <f t="shared" si="9"/>
        <v>0.3333333333</v>
      </c>
      <c r="I19" s="45">
        <f t="shared" si="9"/>
        <v>0</v>
      </c>
      <c r="J19" s="21"/>
      <c r="K19" s="134" t="s">
        <v>27</v>
      </c>
      <c r="L19" s="135">
        <f t="shared" ref="L19:R19" si="10">COUNTIF(L7:L18,True)/COUNTA(L7:L18)</f>
        <v>0.3333333333</v>
      </c>
      <c r="M19" s="135">
        <f t="shared" si="10"/>
        <v>0.3333333333</v>
      </c>
      <c r="N19" s="135">
        <f t="shared" si="10"/>
        <v>0.4166666667</v>
      </c>
      <c r="O19" s="135">
        <f t="shared" si="10"/>
        <v>0.4166666667</v>
      </c>
      <c r="P19" s="135">
        <f t="shared" si="10"/>
        <v>0.08333333333</v>
      </c>
      <c r="Q19" s="135">
        <f t="shared" si="10"/>
        <v>0.25</v>
      </c>
      <c r="R19" s="135">
        <f t="shared" si="10"/>
        <v>0</v>
      </c>
      <c r="T19" s="88" t="s">
        <v>27</v>
      </c>
      <c r="U19" s="44">
        <f t="shared" ref="U19:V19" si="11">COUNTIF(U9:U18,True)/COUNTA(U9:U18)</f>
        <v>0.9</v>
      </c>
      <c r="V19" s="45">
        <f t="shared" si="11"/>
        <v>0.1</v>
      </c>
      <c r="Y19" s="81" t="str">
        <f t="shared" si="8"/>
        <v>Read (~20 min)</v>
      </c>
      <c r="Z19" s="26" t="b">
        <v>0</v>
      </c>
      <c r="AA19" s="26" t="b">
        <v>0</v>
      </c>
      <c r="AB19" s="26" t="b">
        <v>0</v>
      </c>
      <c r="AC19" s="26" t="b">
        <v>0</v>
      </c>
      <c r="AD19" s="26" t="b">
        <v>0</v>
      </c>
      <c r="AE19" s="26" t="b">
        <v>0</v>
      </c>
      <c r="AF19" s="29" t="b">
        <v>0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1</v>
      </c>
      <c r="AA20" s="26" t="b">
        <v>1</v>
      </c>
      <c r="AB20" s="26" t="b">
        <v>0</v>
      </c>
      <c r="AC20" s="26" t="b">
        <v>0</v>
      </c>
      <c r="AD20" s="26" t="b">
        <v>1</v>
      </c>
      <c r="AE20" s="26" t="b">
        <v>0</v>
      </c>
      <c r="AF20" s="32" t="b">
        <v>1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COUNTIF(Z10:Z21,True)/COUNTA(Z10:Z21)</f>
        <v>0.25</v>
      </c>
      <c r="AA22" s="135">
        <f t="shared" si="12"/>
        <v>0.25</v>
      </c>
      <c r="AB22" s="135">
        <f t="shared" si="12"/>
        <v>0.1666666667</v>
      </c>
      <c r="AC22" s="135">
        <f t="shared" si="12"/>
        <v>0.08333333333</v>
      </c>
      <c r="AD22" s="135">
        <f t="shared" si="12"/>
        <v>0.25</v>
      </c>
      <c r="AE22" s="135">
        <f t="shared" si="12"/>
        <v>0.4166666667</v>
      </c>
      <c r="AF22" s="135">
        <f t="shared" si="12"/>
        <v>0.4166666667</v>
      </c>
      <c r="AG22" s="71"/>
    </row>
    <row r="23">
      <c r="A23" s="127"/>
      <c r="B23" s="139" t="s">
        <v>35</v>
      </c>
      <c r="C23" s="97">
        <f>R5+1</f>
        <v>45824</v>
      </c>
      <c r="D23" s="108">
        <f t="shared" ref="D23:I23" si="13">C23+1</f>
        <v>45825</v>
      </c>
      <c r="E23" s="108">
        <f t="shared" si="13"/>
        <v>45826</v>
      </c>
      <c r="F23" s="108">
        <f t="shared" si="13"/>
        <v>45827</v>
      </c>
      <c r="G23" s="108">
        <f t="shared" si="13"/>
        <v>45828</v>
      </c>
      <c r="H23" s="108">
        <f t="shared" si="13"/>
        <v>45829</v>
      </c>
      <c r="I23" s="111">
        <f t="shared" si="13"/>
        <v>45830</v>
      </c>
      <c r="J23" s="52"/>
      <c r="K23" s="110" t="s">
        <v>36</v>
      </c>
      <c r="L23" s="108">
        <f>I23+1</f>
        <v>45831</v>
      </c>
      <c r="M23" s="108">
        <f t="shared" ref="M23:R23" si="14">L23+1</f>
        <v>45832</v>
      </c>
      <c r="N23" s="108">
        <f t="shared" si="14"/>
        <v>45833</v>
      </c>
      <c r="O23" s="108">
        <f t="shared" si="14"/>
        <v>45834</v>
      </c>
      <c r="P23" s="108">
        <f t="shared" si="14"/>
        <v>45835</v>
      </c>
      <c r="Q23" s="108">
        <f t="shared" si="14"/>
        <v>45836</v>
      </c>
      <c r="R23" s="111">
        <f t="shared" si="14"/>
        <v>45837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0</v>
      </c>
      <c r="V24" s="26" t="b">
        <v>0</v>
      </c>
      <c r="W24" s="32" t="b">
        <v>1</v>
      </c>
      <c r="Y24" s="90" t="s">
        <v>48</v>
      </c>
      <c r="Z24" s="53" t="str">
        <f>IFERROR(__xludf.DUMMYFUNCTION("SPARKLINE((SUM(Z22:AF22)+3*W34)/10,{""charttype"",""bar"";""max"",1;""min"",0;""color1"",IF((SUM(Z22:AF22)+3*W34)/10&gt;0.7,""green"",IF((SUM(Z22:AF22)+3*W34)/10&gt;0.5,""yellow"",""red""))})"),"")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0</v>
      </c>
      <c r="D25" s="26" t="b">
        <v>0</v>
      </c>
      <c r="E25" s="26" t="b">
        <v>0</v>
      </c>
      <c r="F25" s="28" t="b">
        <v>0</v>
      </c>
      <c r="G25" s="27" t="b">
        <v>0</v>
      </c>
      <c r="H25" s="26" t="b">
        <v>0</v>
      </c>
      <c r="I25" s="29" t="b">
        <v>0</v>
      </c>
      <c r="J25" s="30"/>
      <c r="K25" s="81" t="str">
        <f t="shared" ref="K25:K35" si="18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0</v>
      </c>
      <c r="V25" s="26" t="b">
        <v>1</v>
      </c>
      <c r="W25" s="32" t="b">
        <v>1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0</v>
      </c>
      <c r="E26" s="27" t="b">
        <v>0</v>
      </c>
      <c r="F26" s="26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8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0</v>
      </c>
      <c r="V26" s="26" t="b">
        <v>1</v>
      </c>
      <c r="W26" s="32" t="b">
        <v>1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0</v>
      </c>
      <c r="D27" s="26" t="b">
        <v>0</v>
      </c>
      <c r="E27" s="26" t="b">
        <v>0</v>
      </c>
      <c r="F27" s="28" t="b">
        <v>0</v>
      </c>
      <c r="G27" s="26" t="b">
        <v>0</v>
      </c>
      <c r="H27" s="26" t="b">
        <v>0</v>
      </c>
      <c r="I27" s="32" t="b">
        <v>0</v>
      </c>
      <c r="J27" s="30"/>
      <c r="K27" s="81" t="str">
        <f t="shared" si="18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32" t="b">
        <v>0</v>
      </c>
      <c r="T27" s="82" t="s">
        <v>12</v>
      </c>
      <c r="U27" s="26" t="b">
        <v>0</v>
      </c>
      <c r="V27" s="26" t="b">
        <v>0</v>
      </c>
      <c r="W27" s="32" t="b">
        <v>0</v>
      </c>
      <c r="Y27" s="82" t="s">
        <v>28</v>
      </c>
      <c r="Z27" s="32" t="b">
        <v>1</v>
      </c>
      <c r="AF27" s="133"/>
      <c r="AG27" s="133"/>
    </row>
    <row r="28">
      <c r="A28" s="127"/>
      <c r="B28" s="82" t="str">
        <f t="shared" si="17"/>
        <v>Eat in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32" t="b">
        <v>0</v>
      </c>
      <c r="J28" s="30"/>
      <c r="K28" s="81" t="str">
        <f t="shared" si="18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32" t="b">
        <v>0</v>
      </c>
      <c r="T28" s="82" t="s">
        <v>56</v>
      </c>
      <c r="U28" s="26" t="b">
        <v>0</v>
      </c>
      <c r="V28" s="26" t="b">
        <v>0</v>
      </c>
      <c r="W28" s="32" t="b">
        <v>1</v>
      </c>
      <c r="Y28" s="82" t="s">
        <v>47</v>
      </c>
      <c r="Z28" s="32" t="b">
        <v>1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8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32" t="b">
        <v>0</v>
      </c>
      <c r="T29" s="82" t="s">
        <v>16</v>
      </c>
      <c r="U29" s="26" t="b">
        <v>0</v>
      </c>
      <c r="V29" s="26" t="b">
        <v>0</v>
      </c>
      <c r="W29" s="32" t="b">
        <v>1</v>
      </c>
      <c r="Y29" s="82" t="s">
        <v>30</v>
      </c>
      <c r="Z29" s="32" t="b">
        <v>1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0</v>
      </c>
      <c r="D30" s="26" t="b">
        <v>0</v>
      </c>
      <c r="E30" s="26" t="b">
        <v>0</v>
      </c>
      <c r="F30" s="26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8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26" t="b">
        <v>1</v>
      </c>
      <c r="W30" s="32" t="b">
        <v>1</v>
      </c>
      <c r="Y30" s="82" t="s">
        <v>32</v>
      </c>
      <c r="Z30" s="32" t="b">
        <v>1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0</v>
      </c>
      <c r="E31" s="26" t="b">
        <v>0</v>
      </c>
      <c r="F31" s="26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0</v>
      </c>
      <c r="V31" s="26" t="b">
        <v>1</v>
      </c>
      <c r="W31" s="32" t="b">
        <v>0</v>
      </c>
      <c r="Y31" s="85" t="s">
        <v>34</v>
      </c>
      <c r="Z31" s="32" t="b">
        <v>1</v>
      </c>
      <c r="AF31" s="145"/>
      <c r="AG31" s="145"/>
    </row>
    <row r="32">
      <c r="A32" s="127"/>
      <c r="B32" s="82" t="str">
        <f t="shared" si="17"/>
        <v>7 hours sleep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32" t="b">
        <v>0</v>
      </c>
      <c r="J32" s="30"/>
      <c r="K32" s="81" t="str">
        <f t="shared" si="18"/>
        <v>7 hours sleep</v>
      </c>
      <c r="L32" s="26" t="b">
        <v>0</v>
      </c>
      <c r="M32" s="26" t="b">
        <v>0</v>
      </c>
      <c r="N32" s="26" t="b">
        <v>0</v>
      </c>
      <c r="O32" s="26" t="b">
        <v>0</v>
      </c>
      <c r="P32" s="26" t="b">
        <v>0</v>
      </c>
      <c r="Q32" s="26" t="b">
        <v>0</v>
      </c>
      <c r="R32" s="32" t="b">
        <v>0</v>
      </c>
      <c r="T32" s="82" t="s">
        <v>22</v>
      </c>
      <c r="U32" s="26" t="b">
        <v>0</v>
      </c>
      <c r="V32" s="26" t="b">
        <v>1</v>
      </c>
      <c r="W32" s="32" t="b">
        <v>0</v>
      </c>
      <c r="Y32" s="91" t="s">
        <v>27</v>
      </c>
      <c r="Z32" s="92">
        <f>COUNTIF(Z27:Z31,True)/COUNTA(Z27:Z31)</f>
        <v>1</v>
      </c>
      <c r="AF32" s="71"/>
      <c r="AG32" s="71"/>
    </row>
    <row r="33">
      <c r="A33" s="127"/>
      <c r="B33" s="82" t="str">
        <f t="shared" si="17"/>
        <v>Clean (~20 min)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8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1</v>
      </c>
      <c r="R33" s="32" t="b">
        <v>0</v>
      </c>
      <c r="T33" s="85" t="s">
        <v>24</v>
      </c>
      <c r="U33" s="38" t="b">
        <v>0</v>
      </c>
      <c r="V33" s="38" t="b">
        <v>0</v>
      </c>
      <c r="W33" s="32" t="b">
        <v>1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32" t="b">
        <v>0</v>
      </c>
      <c r="J34" s="30"/>
      <c r="K34" s="81" t="str">
        <f t="shared" si="18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W34" si="19">COUNTIF(U24:U33,True)/COUNTA(U24:U33)</f>
        <v>0</v>
      </c>
      <c r="V34" s="68">
        <f t="shared" si="19"/>
        <v>0.5</v>
      </c>
      <c r="W34" s="146">
        <f t="shared" si="19"/>
        <v>0.7</v>
      </c>
    </row>
    <row r="35">
      <c r="A35" s="133"/>
      <c r="B35" s="81" t="str">
        <f t="shared" si="17"/>
        <v>Vitamins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8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32" t="b">
        <v>0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</v>
      </c>
      <c r="D37" s="44">
        <f t="shared" si="20"/>
        <v>0</v>
      </c>
      <c r="E37" s="44">
        <f t="shared" si="20"/>
        <v>0</v>
      </c>
      <c r="F37" s="44">
        <f t="shared" si="20"/>
        <v>0</v>
      </c>
      <c r="G37" s="44">
        <f t="shared" si="20"/>
        <v>0</v>
      </c>
      <c r="H37" s="44">
        <f t="shared" si="20"/>
        <v>0</v>
      </c>
      <c r="I37" s="45">
        <f t="shared" si="20"/>
        <v>0</v>
      </c>
      <c r="J37" s="21"/>
      <c r="K37" s="134" t="s">
        <v>27</v>
      </c>
      <c r="L37" s="135">
        <f t="shared" ref="L37:R37" si="21">COUNTIF(L25:L36,True)/COUNTA(L25:L36)</f>
        <v>0</v>
      </c>
      <c r="M37" s="135">
        <f t="shared" si="21"/>
        <v>0</v>
      </c>
      <c r="N37" s="135">
        <f t="shared" si="21"/>
        <v>0</v>
      </c>
      <c r="O37" s="135">
        <f t="shared" si="21"/>
        <v>0</v>
      </c>
      <c r="P37" s="135">
        <f t="shared" si="21"/>
        <v>0</v>
      </c>
      <c r="Q37" s="135">
        <f t="shared" si="21"/>
        <v>0.08333333333</v>
      </c>
      <c r="R37" s="135">
        <f t="shared" si="21"/>
        <v>0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f>C5</f>
        <v>45845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June2025!AF8+1</f>
        <v>45845</v>
      </c>
      <c r="D5" s="98">
        <f t="shared" ref="D5:I5" si="1">C5+1</f>
        <v>45846</v>
      </c>
      <c r="E5" s="98">
        <f t="shared" si="1"/>
        <v>45847</v>
      </c>
      <c r="F5" s="98">
        <f t="shared" si="1"/>
        <v>45848</v>
      </c>
      <c r="G5" s="98">
        <f t="shared" si="1"/>
        <v>45849</v>
      </c>
      <c r="H5" s="98">
        <f t="shared" si="1"/>
        <v>45850</v>
      </c>
      <c r="I5" s="125">
        <f t="shared" si="1"/>
        <v>45851</v>
      </c>
      <c r="J5" s="17"/>
      <c r="K5" s="126" t="s">
        <v>2</v>
      </c>
      <c r="L5" s="98">
        <f>I5+1</f>
        <v>45852</v>
      </c>
      <c r="M5" s="98">
        <f t="shared" ref="M5:R5" si="2">L5+1</f>
        <v>45853</v>
      </c>
      <c r="N5" s="98">
        <f t="shared" si="2"/>
        <v>45854</v>
      </c>
      <c r="O5" s="98">
        <f t="shared" si="2"/>
        <v>45855</v>
      </c>
      <c r="P5" s="98">
        <f t="shared" si="2"/>
        <v>45856</v>
      </c>
      <c r="Q5" s="98">
        <f t="shared" si="2"/>
        <v>45857</v>
      </c>
      <c r="R5" s="125">
        <f t="shared" si="2"/>
        <v>45858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1</v>
      </c>
      <c r="D7" s="26" t="b">
        <v>1</v>
      </c>
      <c r="E7" s="26" t="b">
        <v>0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1</v>
      </c>
      <c r="M7" s="26" t="b">
        <v>0</v>
      </c>
      <c r="N7" s="26" t="b">
        <v>1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0.02777777778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15</v>
      </c>
    </row>
    <row r="9">
      <c r="A9" s="128"/>
      <c r="B9" s="79" t="s">
        <v>39</v>
      </c>
      <c r="C9" s="26" t="b">
        <v>1</v>
      </c>
      <c r="D9" s="26" t="b">
        <v>1</v>
      </c>
      <c r="E9" s="26" t="b">
        <v>0</v>
      </c>
      <c r="F9" s="28" t="b">
        <v>0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0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0</v>
      </c>
      <c r="V9" s="32" t="b">
        <v>0</v>
      </c>
      <c r="X9" s="131">
        <f>X8 + June2025!AB4</f>
        <v>1174</v>
      </c>
    </row>
    <row r="10">
      <c r="A10" s="128"/>
      <c r="B10" s="79" t="s">
        <v>11</v>
      </c>
      <c r="C10" s="26" t="b">
        <v>1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0</v>
      </c>
      <c r="V10" s="32" t="b">
        <v>0</v>
      </c>
    </row>
    <row r="11">
      <c r="A11" s="132"/>
      <c r="B11" s="95" t="s">
        <v>13</v>
      </c>
      <c r="C11" s="26" t="b">
        <v>0</v>
      </c>
      <c r="D11" s="26" t="b">
        <v>0</v>
      </c>
      <c r="E11" s="26" t="b">
        <v>1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0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0</v>
      </c>
      <c r="V11" s="32" t="b">
        <v>0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0</v>
      </c>
    </row>
    <row r="13">
      <c r="A13" s="128"/>
      <c r="B13" s="79" t="s">
        <v>49</v>
      </c>
      <c r="C13" s="26" t="b">
        <v>1</v>
      </c>
      <c r="D13" s="26" t="b">
        <v>1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0</v>
      </c>
      <c r="D14" s="26" t="b">
        <v>1</v>
      </c>
      <c r="E14" s="26" t="b">
        <v>1</v>
      </c>
      <c r="F14" s="26" t="b">
        <v>0</v>
      </c>
      <c r="G14" s="26" t="b">
        <v>0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0</v>
      </c>
      <c r="M14" s="26" t="b">
        <v>0</v>
      </c>
      <c r="N14" s="26" t="b">
        <v>0</v>
      </c>
      <c r="O14" s="26" t="b">
        <v>0</v>
      </c>
      <c r="P14" s="26" t="b">
        <v>0</v>
      </c>
      <c r="Q14" s="26" t="b">
        <v>0</v>
      </c>
      <c r="R14" s="32" t="b">
        <v>0</v>
      </c>
      <c r="T14" s="82" t="s">
        <v>16</v>
      </c>
      <c r="U14" s="26" t="b">
        <v>0</v>
      </c>
      <c r="V14" s="32" t="b">
        <v>0</v>
      </c>
    </row>
    <row r="15">
      <c r="A15" s="128"/>
      <c r="B15" s="79" t="s">
        <v>21</v>
      </c>
      <c r="C15" s="26" t="b">
        <v>1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0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0</v>
      </c>
      <c r="V15" s="32" t="b">
        <v>0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0</v>
      </c>
      <c r="V16" s="32" t="b">
        <v>0</v>
      </c>
      <c r="X16" s="40" t="s">
        <v>25</v>
      </c>
      <c r="Y16" s="41"/>
    </row>
    <row r="17">
      <c r="A17" s="133"/>
      <c r="B17" s="81" t="s">
        <v>26</v>
      </c>
      <c r="C17" s="26" t="b">
        <v>1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0</v>
      </c>
      <c r="V17" s="32" t="b">
        <v>0</v>
      </c>
      <c r="X17" s="82" t="s">
        <v>28</v>
      </c>
      <c r="Y17" s="32" t="b">
        <v>0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0.5</v>
      </c>
      <c r="D19" s="44">
        <f t="shared" si="6"/>
        <v>0.3333333333</v>
      </c>
      <c r="E19" s="44">
        <f t="shared" si="6"/>
        <v>0.1666666667</v>
      </c>
      <c r="F19" s="44">
        <f t="shared" si="6"/>
        <v>0</v>
      </c>
      <c r="G19" s="44">
        <f t="shared" si="6"/>
        <v>0</v>
      </c>
      <c r="H19" s="44">
        <f t="shared" si="6"/>
        <v>0</v>
      </c>
      <c r="I19" s="45">
        <f t="shared" si="6"/>
        <v>0</v>
      </c>
      <c r="J19" s="21"/>
      <c r="K19" s="89" t="s">
        <v>27</v>
      </c>
      <c r="L19" s="44">
        <f t="shared" ref="L19:R19" si="7">COUNTIF(L7:L18,True)/COUNTA(L7:L18)</f>
        <v>0.08333333333</v>
      </c>
      <c r="M19" s="44">
        <f t="shared" si="7"/>
        <v>0</v>
      </c>
      <c r="N19" s="44">
        <f t="shared" si="7"/>
        <v>0.08333333333</v>
      </c>
      <c r="O19" s="44">
        <f t="shared" si="7"/>
        <v>0</v>
      </c>
      <c r="P19" s="44">
        <f t="shared" si="7"/>
        <v>0</v>
      </c>
      <c r="Q19" s="44">
        <f t="shared" si="7"/>
        <v>0</v>
      </c>
      <c r="R19" s="44">
        <f t="shared" si="7"/>
        <v>0</v>
      </c>
      <c r="T19" s="88" t="s">
        <v>27</v>
      </c>
      <c r="U19" s="44">
        <f t="shared" ref="U19:V19" si="8">COUNTIF(U9:U18,True)/COUNTA(U9:U18)</f>
        <v>0</v>
      </c>
      <c r="V19" s="45">
        <f t="shared" si="8"/>
        <v>0</v>
      </c>
      <c r="X19" s="82" t="s">
        <v>30</v>
      </c>
      <c r="Y19" s="32" t="b">
        <v>0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0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</v>
      </c>
      <c r="Z22" s="56"/>
      <c r="AA22" s="56"/>
    </row>
    <row r="23">
      <c r="A23" s="127"/>
      <c r="B23" s="107" t="s">
        <v>35</v>
      </c>
      <c r="C23" s="97">
        <f>R5+1</f>
        <v>45859</v>
      </c>
      <c r="D23" s="108">
        <f t="shared" ref="D23:I23" si="9">C23+1</f>
        <v>45860</v>
      </c>
      <c r="E23" s="108">
        <f t="shared" si="9"/>
        <v>45861</v>
      </c>
      <c r="F23" s="108">
        <f t="shared" si="9"/>
        <v>45862</v>
      </c>
      <c r="G23" s="108">
        <f t="shared" si="9"/>
        <v>45863</v>
      </c>
      <c r="H23" s="108">
        <f t="shared" si="9"/>
        <v>45864</v>
      </c>
      <c r="I23" s="111">
        <f t="shared" si="9"/>
        <v>45865</v>
      </c>
      <c r="J23" s="52"/>
      <c r="K23" s="110" t="s">
        <v>36</v>
      </c>
      <c r="L23" s="108">
        <f>I23+1</f>
        <v>45866</v>
      </c>
      <c r="M23" s="108">
        <f t="shared" ref="M23:R23" si="10">L23+1</f>
        <v>45867</v>
      </c>
      <c r="N23" s="108">
        <f t="shared" si="10"/>
        <v>45868</v>
      </c>
      <c r="O23" s="108">
        <f t="shared" si="10"/>
        <v>45869</v>
      </c>
      <c r="P23" s="108">
        <f t="shared" si="10"/>
        <v>45870</v>
      </c>
      <c r="Q23" s="108">
        <f t="shared" si="10"/>
        <v>45871</v>
      </c>
      <c r="R23" s="111">
        <f t="shared" si="10"/>
        <v>45872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0</v>
      </c>
      <c r="V24" s="32" t="b">
        <v>0</v>
      </c>
    </row>
    <row r="25">
      <c r="A25" s="127"/>
      <c r="B25" s="82" t="str">
        <f t="shared" ref="B25:B36" si="13">B7</f>
        <v>Exercise</v>
      </c>
      <c r="C25" s="26" t="b">
        <v>1</v>
      </c>
      <c r="D25" s="26" t="b">
        <v>0</v>
      </c>
      <c r="E25" s="27" t="b">
        <v>0</v>
      </c>
      <c r="F25" s="28" t="b">
        <v>0</v>
      </c>
      <c r="G25" s="27" t="b">
        <v>0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0</v>
      </c>
      <c r="V25" s="32" t="b">
        <v>0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0</v>
      </c>
      <c r="V26" s="32" t="b">
        <v>0</v>
      </c>
    </row>
    <row r="27">
      <c r="A27" s="127"/>
      <c r="B27" s="82" t="str">
        <f t="shared" si="13"/>
        <v>Social Media (&lt;limit)</v>
      </c>
      <c r="C27" s="26" t="b">
        <v>0</v>
      </c>
      <c r="D27" s="26" t="b">
        <v>0</v>
      </c>
      <c r="E27" s="26" t="b">
        <v>0</v>
      </c>
      <c r="F27" s="28" t="b">
        <v>0</v>
      </c>
      <c r="G27" s="27" t="b">
        <v>0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29" t="b">
        <v>0</v>
      </c>
      <c r="T27" s="82" t="s">
        <v>12</v>
      </c>
      <c r="U27" s="26" t="b">
        <v>0</v>
      </c>
      <c r="V27" s="32" t="b">
        <v>0</v>
      </c>
    </row>
    <row r="28">
      <c r="A28" s="127"/>
      <c r="B28" s="82" t="str">
        <f t="shared" si="13"/>
        <v>Eat in</v>
      </c>
      <c r="C28" s="26" t="b">
        <v>0</v>
      </c>
      <c r="D28" s="26" t="b">
        <v>0</v>
      </c>
      <c r="E28" s="26" t="b">
        <v>0</v>
      </c>
      <c r="F28" s="27" t="b">
        <v>0</v>
      </c>
      <c r="G28" s="26" t="b">
        <v>0</v>
      </c>
      <c r="H28" s="26" t="b">
        <v>0</v>
      </c>
      <c r="I28" s="29" t="b">
        <v>0</v>
      </c>
      <c r="J28" s="30"/>
      <c r="K28" s="81" t="str">
        <f t="shared" si="14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29" t="b">
        <v>0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0</v>
      </c>
      <c r="E29" s="26" t="b">
        <v>0</v>
      </c>
      <c r="F29" s="27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29" t="b">
        <v>0</v>
      </c>
      <c r="T29" s="82" t="s">
        <v>16</v>
      </c>
      <c r="U29" s="26" t="b">
        <v>0</v>
      </c>
      <c r="V29" s="32" t="b">
        <v>0</v>
      </c>
    </row>
    <row r="30">
      <c r="A30" s="127"/>
      <c r="B30" s="82" t="str">
        <f t="shared" si="13"/>
        <v>(2x)Brush+(1x)Floss</v>
      </c>
      <c r="C30" s="26" t="b">
        <v>0</v>
      </c>
      <c r="D30" s="26" t="b">
        <v>0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32" t="b">
        <v>0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0</v>
      </c>
      <c r="V31" s="32" t="b">
        <v>0</v>
      </c>
    </row>
    <row r="32">
      <c r="A32" s="127"/>
      <c r="B32" s="82" t="str">
        <f t="shared" si="13"/>
        <v>7 hours sleep</v>
      </c>
      <c r="C32" s="26" t="b">
        <v>0</v>
      </c>
      <c r="D32" s="26" t="b">
        <v>0</v>
      </c>
      <c r="E32" s="27" t="b">
        <v>0</v>
      </c>
      <c r="F32" s="27" t="b">
        <v>0</v>
      </c>
      <c r="G32" s="27" t="b">
        <v>0</v>
      </c>
      <c r="H32" s="26" t="b">
        <v>0</v>
      </c>
      <c r="I32" s="32" t="b">
        <v>0</v>
      </c>
      <c r="J32" s="30"/>
      <c r="K32" s="81" t="str">
        <f t="shared" si="14"/>
        <v>7 hours sleep</v>
      </c>
      <c r="L32" s="26" t="b">
        <v>0</v>
      </c>
      <c r="M32" s="26" t="b">
        <v>0</v>
      </c>
      <c r="N32" s="26" t="b">
        <v>0</v>
      </c>
      <c r="O32" s="26" t="b">
        <v>0</v>
      </c>
      <c r="P32" s="26" t="b">
        <v>0</v>
      </c>
      <c r="Q32" s="26" t="b">
        <v>0</v>
      </c>
      <c r="R32" s="29" t="b">
        <v>0</v>
      </c>
      <c r="T32" s="82" t="s">
        <v>22</v>
      </c>
      <c r="U32" s="26" t="b">
        <v>0</v>
      </c>
      <c r="V32" s="32" t="b">
        <v>0</v>
      </c>
    </row>
    <row r="33">
      <c r="A33" s="127"/>
      <c r="B33" s="82" t="str">
        <f t="shared" si="13"/>
        <v>Clean (~20 min)</v>
      </c>
      <c r="C33" s="26" t="b">
        <v>0</v>
      </c>
      <c r="D33" s="26" t="b">
        <v>0</v>
      </c>
      <c r="E33" s="26" t="b">
        <v>0</v>
      </c>
      <c r="F33" s="27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4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29" t="b">
        <v>0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0</v>
      </c>
      <c r="D34" s="26" t="b">
        <v>0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</v>
      </c>
      <c r="V34" s="69">
        <f t="shared" si="15"/>
        <v>0</v>
      </c>
    </row>
    <row r="35">
      <c r="A35" s="133"/>
      <c r="B35" s="81" t="str">
        <f t="shared" si="13"/>
        <v>Vitamins</v>
      </c>
      <c r="C35" s="26" t="b">
        <v>0</v>
      </c>
      <c r="D35" s="26" t="b">
        <v>0</v>
      </c>
      <c r="E35" s="27" t="b">
        <v>0</v>
      </c>
      <c r="F35" s="27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4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29" t="b">
        <v>0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38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0.08333333333</v>
      </c>
      <c r="D37" s="44">
        <f t="shared" si="16"/>
        <v>0</v>
      </c>
      <c r="E37" s="44">
        <f t="shared" si="16"/>
        <v>0</v>
      </c>
      <c r="F37" s="44">
        <f t="shared" si="16"/>
        <v>0</v>
      </c>
      <c r="G37" s="44">
        <f t="shared" si="16"/>
        <v>0</v>
      </c>
      <c r="H37" s="44">
        <f t="shared" si="16"/>
        <v>0</v>
      </c>
      <c r="I37" s="45">
        <f t="shared" si="16"/>
        <v>0</v>
      </c>
      <c r="J37" s="21"/>
      <c r="K37" s="89" t="s">
        <v>27</v>
      </c>
      <c r="L37" s="44">
        <f t="shared" ref="L37:R37" si="17">COUNTIF(L25:L36,True)/COUNTA(L25:L36)</f>
        <v>0</v>
      </c>
      <c r="M37" s="44">
        <f t="shared" si="17"/>
        <v>0</v>
      </c>
      <c r="N37" s="44">
        <f t="shared" si="17"/>
        <v>0</v>
      </c>
      <c r="O37" s="44">
        <f t="shared" si="17"/>
        <v>0</v>
      </c>
      <c r="P37" s="44">
        <f t="shared" si="17"/>
        <v>0</v>
      </c>
      <c r="Q37" s="44">
        <f t="shared" si="17"/>
        <v>0</v>
      </c>
      <c r="R37" s="44">
        <f t="shared" si="17"/>
        <v>0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f>C5</f>
        <v>45873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July2025!R23+1</f>
        <v>45873</v>
      </c>
      <c r="D5" s="98">
        <f t="shared" ref="D5:I5" si="1">C5+1</f>
        <v>45874</v>
      </c>
      <c r="E5" s="98">
        <f t="shared" si="1"/>
        <v>45875</v>
      </c>
      <c r="F5" s="98">
        <f t="shared" si="1"/>
        <v>45876</v>
      </c>
      <c r="G5" s="98">
        <f t="shared" si="1"/>
        <v>45877</v>
      </c>
      <c r="H5" s="98">
        <f t="shared" si="1"/>
        <v>45878</v>
      </c>
      <c r="I5" s="125">
        <f t="shared" si="1"/>
        <v>45879</v>
      </c>
      <c r="J5" s="17"/>
      <c r="K5" s="126" t="s">
        <v>2</v>
      </c>
      <c r="L5" s="98">
        <f>I5+1</f>
        <v>45880</v>
      </c>
      <c r="M5" s="98">
        <f t="shared" ref="M5:R5" si="2">L5+1</f>
        <v>45881</v>
      </c>
      <c r="N5" s="98">
        <f t="shared" si="2"/>
        <v>45882</v>
      </c>
      <c r="O5" s="98">
        <f t="shared" si="2"/>
        <v>45883</v>
      </c>
      <c r="P5" s="98">
        <f t="shared" si="2"/>
        <v>45884</v>
      </c>
      <c r="Q5" s="98">
        <f t="shared" si="2"/>
        <v>45885</v>
      </c>
      <c r="R5" s="125">
        <f t="shared" si="2"/>
        <v>45886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0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0</v>
      </c>
    </row>
    <row r="9">
      <c r="A9" s="128"/>
      <c r="B9" s="79" t="s">
        <v>39</v>
      </c>
      <c r="C9" s="26" t="b">
        <v>0</v>
      </c>
      <c r="D9" s="26" t="b">
        <v>0</v>
      </c>
      <c r="E9" s="26" t="b">
        <v>0</v>
      </c>
      <c r="F9" s="28" t="b">
        <v>0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0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0</v>
      </c>
      <c r="V9" s="32" t="b">
        <v>0</v>
      </c>
      <c r="X9" s="131">
        <f>X8 + July2025!X9</f>
        <v>1174</v>
      </c>
    </row>
    <row r="10">
      <c r="A10" s="128"/>
      <c r="B10" s="79" t="s">
        <v>11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0</v>
      </c>
      <c r="V10" s="32" t="b">
        <v>0</v>
      </c>
    </row>
    <row r="11">
      <c r="A11" s="132"/>
      <c r="B11" s="95" t="s">
        <v>13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0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0</v>
      </c>
      <c r="V11" s="32" t="b">
        <v>0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0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0</v>
      </c>
      <c r="M14" s="26" t="b">
        <v>0</v>
      </c>
      <c r="N14" s="26" t="b">
        <v>0</v>
      </c>
      <c r="O14" s="26" t="b">
        <v>0</v>
      </c>
      <c r="P14" s="26" t="b">
        <v>0</v>
      </c>
      <c r="Q14" s="26" t="b">
        <v>0</v>
      </c>
      <c r="R14" s="32" t="b">
        <v>0</v>
      </c>
      <c r="T14" s="82" t="s">
        <v>16</v>
      </c>
      <c r="U14" s="26" t="b">
        <v>0</v>
      </c>
      <c r="V14" s="32" t="b">
        <v>0</v>
      </c>
    </row>
    <row r="15">
      <c r="A15" s="128"/>
      <c r="B15" s="79" t="s">
        <v>21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0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0</v>
      </c>
      <c r="V15" s="32" t="b">
        <v>0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0</v>
      </c>
      <c r="V16" s="32" t="b">
        <v>0</v>
      </c>
      <c r="X16" s="40" t="s">
        <v>25</v>
      </c>
      <c r="Y16" s="41"/>
    </row>
    <row r="17">
      <c r="A17" s="133"/>
      <c r="B17" s="81" t="s">
        <v>26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0</v>
      </c>
      <c r="V17" s="32" t="b">
        <v>0</v>
      </c>
      <c r="X17" s="82" t="s">
        <v>28</v>
      </c>
      <c r="Y17" s="32" t="b">
        <v>0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</v>
      </c>
      <c r="D19" s="44">
        <f t="shared" si="6"/>
        <v>0</v>
      </c>
      <c r="E19" s="44">
        <f t="shared" si="6"/>
        <v>0</v>
      </c>
      <c r="F19" s="44">
        <f t="shared" si="6"/>
        <v>0</v>
      </c>
      <c r="G19" s="44">
        <f t="shared" si="6"/>
        <v>0</v>
      </c>
      <c r="H19" s="44">
        <f t="shared" si="6"/>
        <v>0</v>
      </c>
      <c r="I19" s="45">
        <f t="shared" si="6"/>
        <v>0</v>
      </c>
      <c r="J19" s="21"/>
      <c r="K19" s="89" t="s">
        <v>27</v>
      </c>
      <c r="L19" s="44">
        <f t="shared" ref="L19:R19" si="7">COUNTIF(L7:L18,True)/COUNTA(L7:L18)</f>
        <v>0</v>
      </c>
      <c r="M19" s="44">
        <f t="shared" si="7"/>
        <v>0</v>
      </c>
      <c r="N19" s="44">
        <f t="shared" si="7"/>
        <v>0</v>
      </c>
      <c r="O19" s="44">
        <f t="shared" si="7"/>
        <v>0</v>
      </c>
      <c r="P19" s="44">
        <f t="shared" si="7"/>
        <v>0</v>
      </c>
      <c r="Q19" s="44">
        <f t="shared" si="7"/>
        <v>0</v>
      </c>
      <c r="R19" s="44">
        <f t="shared" si="7"/>
        <v>0</v>
      </c>
      <c r="T19" s="88" t="s">
        <v>27</v>
      </c>
      <c r="U19" s="44">
        <f t="shared" ref="U19:V19" si="8">COUNTIF(U9:U18,True)/COUNTA(U9:U18)</f>
        <v>0</v>
      </c>
      <c r="V19" s="45">
        <f t="shared" si="8"/>
        <v>0</v>
      </c>
      <c r="X19" s="82" t="s">
        <v>30</v>
      </c>
      <c r="Y19" s="32" t="b">
        <v>0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0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</v>
      </c>
      <c r="Z22" s="56"/>
      <c r="AA22" s="56"/>
    </row>
    <row r="23">
      <c r="A23" s="127"/>
      <c r="B23" s="107" t="s">
        <v>35</v>
      </c>
      <c r="C23" s="97">
        <f>R5+1</f>
        <v>45887</v>
      </c>
      <c r="D23" s="108">
        <f t="shared" ref="D23:I23" si="9">C23+1</f>
        <v>45888</v>
      </c>
      <c r="E23" s="108">
        <f t="shared" si="9"/>
        <v>45889</v>
      </c>
      <c r="F23" s="108">
        <f t="shared" si="9"/>
        <v>45890</v>
      </c>
      <c r="G23" s="108">
        <f t="shared" si="9"/>
        <v>45891</v>
      </c>
      <c r="H23" s="108">
        <f t="shared" si="9"/>
        <v>45892</v>
      </c>
      <c r="I23" s="111">
        <f t="shared" si="9"/>
        <v>45893</v>
      </c>
      <c r="J23" s="52"/>
      <c r="K23" s="110" t="s">
        <v>36</v>
      </c>
      <c r="L23" s="108">
        <f>I23+1</f>
        <v>45894</v>
      </c>
      <c r="M23" s="108">
        <f t="shared" ref="M23:R23" si="10">L23+1</f>
        <v>45895</v>
      </c>
      <c r="N23" s="108">
        <f t="shared" si="10"/>
        <v>45896</v>
      </c>
      <c r="O23" s="108">
        <f t="shared" si="10"/>
        <v>45897</v>
      </c>
      <c r="P23" s="108">
        <f t="shared" si="10"/>
        <v>45898</v>
      </c>
      <c r="Q23" s="108">
        <f t="shared" si="10"/>
        <v>45899</v>
      </c>
      <c r="R23" s="111">
        <f t="shared" si="10"/>
        <v>45900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0</v>
      </c>
      <c r="V24" s="32" t="b">
        <v>0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0</v>
      </c>
      <c r="E25" s="27" t="b">
        <v>0</v>
      </c>
      <c r="F25" s="28" t="b">
        <v>0</v>
      </c>
      <c r="G25" s="27" t="b">
        <v>0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0</v>
      </c>
      <c r="V25" s="32" t="b">
        <v>0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0</v>
      </c>
      <c r="V26" s="32" t="b">
        <v>0</v>
      </c>
    </row>
    <row r="27">
      <c r="A27" s="127"/>
      <c r="B27" s="82" t="str">
        <f t="shared" si="13"/>
        <v>Social Media (&lt;limit)</v>
      </c>
      <c r="C27" s="26" t="b">
        <v>0</v>
      </c>
      <c r="D27" s="26" t="b">
        <v>0</v>
      </c>
      <c r="E27" s="26" t="b">
        <v>0</v>
      </c>
      <c r="F27" s="28" t="b">
        <v>0</v>
      </c>
      <c r="G27" s="27" t="b">
        <v>0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29" t="b">
        <v>0</v>
      </c>
      <c r="T27" s="82" t="s">
        <v>12</v>
      </c>
      <c r="U27" s="26" t="b">
        <v>0</v>
      </c>
      <c r="V27" s="32" t="b">
        <v>0</v>
      </c>
    </row>
    <row r="28">
      <c r="A28" s="127"/>
      <c r="B28" s="82" t="str">
        <f t="shared" si="13"/>
        <v>Eat in</v>
      </c>
      <c r="C28" s="26" t="b">
        <v>0</v>
      </c>
      <c r="D28" s="26" t="b">
        <v>0</v>
      </c>
      <c r="E28" s="26" t="b">
        <v>0</v>
      </c>
      <c r="F28" s="27" t="b">
        <v>0</v>
      </c>
      <c r="G28" s="26" t="b">
        <v>0</v>
      </c>
      <c r="H28" s="26" t="b">
        <v>0</v>
      </c>
      <c r="I28" s="29" t="b">
        <v>0</v>
      </c>
      <c r="J28" s="30"/>
      <c r="K28" s="81" t="str">
        <f t="shared" si="14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29" t="b">
        <v>0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0</v>
      </c>
      <c r="E29" s="26" t="b">
        <v>0</v>
      </c>
      <c r="F29" s="27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29" t="b">
        <v>0</v>
      </c>
      <c r="T29" s="82" t="s">
        <v>16</v>
      </c>
      <c r="U29" s="26" t="b">
        <v>0</v>
      </c>
      <c r="V29" s="32" t="b">
        <v>0</v>
      </c>
    </row>
    <row r="30">
      <c r="A30" s="127"/>
      <c r="B30" s="82" t="str">
        <f t="shared" si="13"/>
        <v>(2x)Brush+(1x)Floss</v>
      </c>
      <c r="C30" s="26" t="b">
        <v>0</v>
      </c>
      <c r="D30" s="26" t="b">
        <v>0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32" t="b">
        <v>0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0</v>
      </c>
      <c r="V31" s="32" t="b">
        <v>0</v>
      </c>
    </row>
    <row r="32">
      <c r="A32" s="127"/>
      <c r="B32" s="82" t="str">
        <f t="shared" si="13"/>
        <v>7 hours sleep</v>
      </c>
      <c r="C32" s="26" t="b">
        <v>0</v>
      </c>
      <c r="D32" s="26" t="b">
        <v>0</v>
      </c>
      <c r="E32" s="27" t="b">
        <v>0</v>
      </c>
      <c r="F32" s="27" t="b">
        <v>0</v>
      </c>
      <c r="G32" s="27" t="b">
        <v>0</v>
      </c>
      <c r="H32" s="26" t="b">
        <v>0</v>
      </c>
      <c r="I32" s="32" t="b">
        <v>0</v>
      </c>
      <c r="J32" s="30"/>
      <c r="K32" s="81" t="str">
        <f t="shared" si="14"/>
        <v>7 hours sleep</v>
      </c>
      <c r="L32" s="26" t="b">
        <v>0</v>
      </c>
      <c r="M32" s="26" t="b">
        <v>0</v>
      </c>
      <c r="N32" s="26" t="b">
        <v>0</v>
      </c>
      <c r="O32" s="26" t="b">
        <v>0</v>
      </c>
      <c r="P32" s="26" t="b">
        <v>0</v>
      </c>
      <c r="Q32" s="26" t="b">
        <v>0</v>
      </c>
      <c r="R32" s="29" t="b">
        <v>0</v>
      </c>
      <c r="T32" s="82" t="s">
        <v>22</v>
      </c>
      <c r="U32" s="26" t="b">
        <v>0</v>
      </c>
      <c r="V32" s="32" t="b">
        <v>0</v>
      </c>
    </row>
    <row r="33">
      <c r="A33" s="127"/>
      <c r="B33" s="82" t="str">
        <f t="shared" si="13"/>
        <v>Clean (~20 min)</v>
      </c>
      <c r="C33" s="26" t="b">
        <v>0</v>
      </c>
      <c r="D33" s="26" t="b">
        <v>0</v>
      </c>
      <c r="E33" s="26" t="b">
        <v>0</v>
      </c>
      <c r="F33" s="27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4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29" t="b">
        <v>0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0</v>
      </c>
      <c r="D34" s="26" t="b">
        <v>0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</v>
      </c>
      <c r="V34" s="69">
        <f t="shared" si="15"/>
        <v>0</v>
      </c>
    </row>
    <row r="35">
      <c r="A35" s="133"/>
      <c r="B35" s="81" t="str">
        <f t="shared" si="13"/>
        <v>Vitamins</v>
      </c>
      <c r="C35" s="26" t="b">
        <v>0</v>
      </c>
      <c r="D35" s="26" t="b">
        <v>0</v>
      </c>
      <c r="E35" s="27" t="b">
        <v>0</v>
      </c>
      <c r="F35" s="27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4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29" t="b">
        <v>0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38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</v>
      </c>
      <c r="D37" s="44">
        <f t="shared" si="16"/>
        <v>0</v>
      </c>
      <c r="E37" s="44">
        <f t="shared" si="16"/>
        <v>0</v>
      </c>
      <c r="F37" s="44">
        <f t="shared" si="16"/>
        <v>0</v>
      </c>
      <c r="G37" s="44">
        <f t="shared" si="16"/>
        <v>0</v>
      </c>
      <c r="H37" s="44">
        <f t="shared" si="16"/>
        <v>0</v>
      </c>
      <c r="I37" s="45">
        <f t="shared" si="16"/>
        <v>0</v>
      </c>
      <c r="J37" s="21"/>
      <c r="K37" s="89" t="s">
        <v>27</v>
      </c>
      <c r="L37" s="44">
        <f t="shared" ref="L37:R37" si="17">COUNTIF(L25:L36,True)/COUNTA(L25:L36)</f>
        <v>0</v>
      </c>
      <c r="M37" s="44">
        <f t="shared" si="17"/>
        <v>0</v>
      </c>
      <c r="N37" s="44">
        <f t="shared" si="17"/>
        <v>0</v>
      </c>
      <c r="O37" s="44">
        <f t="shared" si="17"/>
        <v>0</v>
      </c>
      <c r="P37" s="44">
        <f t="shared" si="17"/>
        <v>0</v>
      </c>
      <c r="Q37" s="44">
        <f t="shared" si="17"/>
        <v>0</v>
      </c>
      <c r="R37" s="44">
        <f t="shared" si="17"/>
        <v>0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</v>
      </c>
    </row>
    <row r="3">
      <c r="A3" s="120"/>
      <c r="B3" s="8">
        <f>C5</f>
        <v>45901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0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August2025!X9</f>
        <v>1174</v>
      </c>
    </row>
    <row r="5">
      <c r="A5" s="124"/>
      <c r="B5" s="96" t="s">
        <v>1</v>
      </c>
      <c r="C5" s="97">
        <f>August2025!R23+1</f>
        <v>45901</v>
      </c>
      <c r="D5" s="98">
        <f t="shared" ref="D5:I5" si="1">C5+1</f>
        <v>45902</v>
      </c>
      <c r="E5" s="98">
        <f t="shared" si="1"/>
        <v>45903</v>
      </c>
      <c r="F5" s="98">
        <f t="shared" si="1"/>
        <v>45904</v>
      </c>
      <c r="G5" s="98">
        <f t="shared" si="1"/>
        <v>45905</v>
      </c>
      <c r="H5" s="98">
        <f t="shared" si="1"/>
        <v>45906</v>
      </c>
      <c r="I5" s="125">
        <f t="shared" si="1"/>
        <v>45907</v>
      </c>
      <c r="J5" s="17"/>
      <c r="K5" s="126" t="s">
        <v>2</v>
      </c>
      <c r="L5" s="98">
        <f>I5+1</f>
        <v>45908</v>
      </c>
      <c r="M5" s="98">
        <f t="shared" ref="M5:R5" si="2">L5+1</f>
        <v>45909</v>
      </c>
      <c r="N5" s="98">
        <f t="shared" si="2"/>
        <v>45910</v>
      </c>
      <c r="O5" s="98">
        <f t="shared" si="2"/>
        <v>45911</v>
      </c>
      <c r="P5" s="98">
        <f t="shared" si="2"/>
        <v>45912</v>
      </c>
      <c r="Q5" s="98">
        <f t="shared" si="2"/>
        <v>45913</v>
      </c>
      <c r="R5" s="125">
        <f t="shared" si="2"/>
        <v>45914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0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45929</v>
      </c>
      <c r="AA8" s="108">
        <f t="shared" ref="AA8:AF8" si="6">Z8+1</f>
        <v>45930</v>
      </c>
      <c r="AB8" s="108">
        <f t="shared" si="6"/>
        <v>45931</v>
      </c>
      <c r="AC8" s="108">
        <f t="shared" si="6"/>
        <v>45932</v>
      </c>
      <c r="AD8" s="108">
        <f t="shared" si="6"/>
        <v>45933</v>
      </c>
      <c r="AE8" s="108">
        <f t="shared" si="6"/>
        <v>45934</v>
      </c>
      <c r="AF8" s="111">
        <f t="shared" si="6"/>
        <v>45935</v>
      </c>
    </row>
    <row r="9">
      <c r="A9" s="128"/>
      <c r="B9" s="79" t="s">
        <v>39</v>
      </c>
      <c r="C9" s="26" t="b">
        <v>0</v>
      </c>
      <c r="D9" s="26" t="b">
        <v>0</v>
      </c>
      <c r="E9" s="26" t="b">
        <v>0</v>
      </c>
      <c r="F9" s="28" t="b">
        <v>0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0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0</v>
      </c>
      <c r="V9" s="32" t="b">
        <v>0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0</v>
      </c>
      <c r="V10" s="32" t="b">
        <v>0</v>
      </c>
      <c r="Y10" s="81" t="str">
        <f t="shared" ref="Y10:Y20" si="8">K7</f>
        <v>Exercise</v>
      </c>
      <c r="Z10" s="26" t="b">
        <v>0</v>
      </c>
      <c r="AA10" s="26" t="b">
        <v>0</v>
      </c>
      <c r="AB10" s="26" t="b">
        <v>0</v>
      </c>
      <c r="AC10" s="26" t="b">
        <v>0</v>
      </c>
      <c r="AD10" s="26" t="b">
        <v>0</v>
      </c>
      <c r="AE10" s="26" t="b">
        <v>0</v>
      </c>
      <c r="AF10" s="29" t="b">
        <v>0</v>
      </c>
      <c r="AG10" s="133"/>
    </row>
    <row r="11">
      <c r="A11" s="132"/>
      <c r="B11" s="95" t="s">
        <v>13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0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0</v>
      </c>
      <c r="V11" s="32" t="b">
        <v>0</v>
      </c>
      <c r="Y11" s="81" t="str">
        <f t="shared" si="8"/>
        <v>Stretch/Yoga (&gt;20min)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29" t="b">
        <v>0</v>
      </c>
      <c r="AG11" s="133"/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0</v>
      </c>
      <c r="Y12" s="81" t="str">
        <f t="shared" si="8"/>
        <v>Social Media (&lt;limit)</v>
      </c>
      <c r="Z12" s="26" t="b">
        <v>0</v>
      </c>
      <c r="AA12" s="26" t="b">
        <v>0</v>
      </c>
      <c r="AB12" s="26" t="b">
        <v>0</v>
      </c>
      <c r="AC12" s="26" t="b">
        <v>0</v>
      </c>
      <c r="AD12" s="26" t="b">
        <v>0</v>
      </c>
      <c r="AE12" s="26" t="b">
        <v>0</v>
      </c>
      <c r="AF12" s="32" t="b">
        <v>0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  <c r="Y13" s="81" t="str">
        <f t="shared" si="8"/>
        <v>Eat in</v>
      </c>
      <c r="Z13" s="26" t="b">
        <v>0</v>
      </c>
      <c r="AA13" s="26" t="b">
        <v>0</v>
      </c>
      <c r="AB13" s="26" t="b">
        <v>0</v>
      </c>
      <c r="AC13" s="26" t="b">
        <v>0</v>
      </c>
      <c r="AD13" s="26" t="b">
        <v>0</v>
      </c>
      <c r="AE13" s="26" t="b">
        <v>0</v>
      </c>
      <c r="AF13" s="32" t="b">
        <v>0</v>
      </c>
      <c r="AG13" s="133"/>
    </row>
    <row r="14">
      <c r="A14" s="128"/>
      <c r="B14" s="79" t="s">
        <v>19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0</v>
      </c>
      <c r="M14" s="26" t="b">
        <v>0</v>
      </c>
      <c r="N14" s="26" t="b">
        <v>0</v>
      </c>
      <c r="O14" s="26" t="b">
        <v>0</v>
      </c>
      <c r="P14" s="26" t="b">
        <v>0</v>
      </c>
      <c r="Q14" s="26" t="b">
        <v>0</v>
      </c>
      <c r="R14" s="32" t="b">
        <v>0</v>
      </c>
      <c r="T14" s="82" t="s">
        <v>16</v>
      </c>
      <c r="U14" s="26" t="b">
        <v>0</v>
      </c>
      <c r="V14" s="32" t="b">
        <v>0</v>
      </c>
      <c r="Y14" s="95" t="str">
        <f t="shared" si="8"/>
        <v>Review Budget/Goals</v>
      </c>
      <c r="Z14" s="26" t="b">
        <v>0</v>
      </c>
      <c r="AA14" s="26" t="b">
        <v>0</v>
      </c>
      <c r="AB14" s="26" t="b">
        <v>0</v>
      </c>
      <c r="AC14" s="26" t="b">
        <v>0</v>
      </c>
      <c r="AD14" s="26" t="b">
        <v>0</v>
      </c>
      <c r="AE14" s="26" t="b">
        <v>0</v>
      </c>
      <c r="AF14" s="32" t="b">
        <v>0</v>
      </c>
      <c r="AG14" s="133"/>
    </row>
    <row r="15">
      <c r="A15" s="128"/>
      <c r="B15" s="79" t="s">
        <v>21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0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0</v>
      </c>
      <c r="V15" s="32" t="b">
        <v>0</v>
      </c>
      <c r="Y15" s="81" t="str">
        <f t="shared" si="8"/>
        <v>(2x)Brush+(1x)Floss</v>
      </c>
      <c r="Z15" s="26" t="b">
        <v>0</v>
      </c>
      <c r="AA15" s="26" t="b">
        <v>0</v>
      </c>
      <c r="AB15" s="26" t="b">
        <v>0</v>
      </c>
      <c r="AC15" s="26" t="b">
        <v>0</v>
      </c>
      <c r="AD15" s="26" t="b">
        <v>0</v>
      </c>
      <c r="AE15" s="26" t="b">
        <v>0</v>
      </c>
      <c r="AF15" s="32" t="b">
        <v>0</v>
      </c>
      <c r="AG15" s="133"/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0</v>
      </c>
      <c r="V16" s="32" t="b">
        <v>0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0</v>
      </c>
      <c r="V17" s="32" t="b">
        <v>0</v>
      </c>
      <c r="Y17" s="81" t="str">
        <f t="shared" si="8"/>
        <v>7 hours sleep</v>
      </c>
      <c r="Z17" s="26" t="b">
        <v>0</v>
      </c>
      <c r="AA17" s="26" t="b">
        <v>0</v>
      </c>
      <c r="AB17" s="26" t="b">
        <v>0</v>
      </c>
      <c r="AC17" s="26" t="b">
        <v>0</v>
      </c>
      <c r="AD17" s="26" t="b">
        <v>0</v>
      </c>
      <c r="AE17" s="26" t="b">
        <v>0</v>
      </c>
      <c r="AF17" s="32" t="b">
        <v>0</v>
      </c>
      <c r="AG17" s="133"/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Y18" s="81" t="str">
        <f t="shared" si="8"/>
        <v>Clean (~20 min)</v>
      </c>
      <c r="Z18" s="26" t="b">
        <v>0</v>
      </c>
      <c r="AA18" s="26" t="b">
        <v>0</v>
      </c>
      <c r="AB18" s="26" t="b">
        <v>0</v>
      </c>
      <c r="AC18" s="26" t="b">
        <v>0</v>
      </c>
      <c r="AD18" s="26" t="b">
        <v>0</v>
      </c>
      <c r="AE18" s="26" t="b">
        <v>0</v>
      </c>
      <c r="AF18" s="32" t="b">
        <v>0</v>
      </c>
      <c r="AG18" s="133"/>
    </row>
    <row r="19">
      <c r="A19" s="127"/>
      <c r="B19" s="88" t="s">
        <v>27</v>
      </c>
      <c r="C19" s="44">
        <f t="shared" ref="C19:I19" si="9">COUNTIF(C7:C18,True)/COUNTA(C7:C18)</f>
        <v>0</v>
      </c>
      <c r="D19" s="44">
        <f t="shared" si="9"/>
        <v>0</v>
      </c>
      <c r="E19" s="44">
        <f t="shared" si="9"/>
        <v>0</v>
      </c>
      <c r="F19" s="44">
        <f t="shared" si="9"/>
        <v>0</v>
      </c>
      <c r="G19" s="44">
        <f t="shared" si="9"/>
        <v>0</v>
      </c>
      <c r="H19" s="44">
        <f t="shared" si="9"/>
        <v>0</v>
      </c>
      <c r="I19" s="45">
        <f t="shared" si="9"/>
        <v>0</v>
      </c>
      <c r="J19" s="21"/>
      <c r="K19" s="134" t="s">
        <v>27</v>
      </c>
      <c r="L19" s="135">
        <f t="shared" ref="L19:R19" si="10">COUNTIF(L7:L18,True)/COUNTA(L7:L18)</f>
        <v>0</v>
      </c>
      <c r="M19" s="135">
        <f t="shared" si="10"/>
        <v>0</v>
      </c>
      <c r="N19" s="135">
        <f t="shared" si="10"/>
        <v>0</v>
      </c>
      <c r="O19" s="135">
        <f t="shared" si="10"/>
        <v>0</v>
      </c>
      <c r="P19" s="135">
        <f t="shared" si="10"/>
        <v>0</v>
      </c>
      <c r="Q19" s="135">
        <f t="shared" si="10"/>
        <v>0</v>
      </c>
      <c r="R19" s="135">
        <f t="shared" si="10"/>
        <v>0</v>
      </c>
      <c r="T19" s="88" t="s">
        <v>27</v>
      </c>
      <c r="U19" s="44">
        <f t="shared" ref="U19:V19" si="11">COUNTIF(U9:U18,True)/COUNTA(U9:U18)</f>
        <v>0</v>
      </c>
      <c r="V19" s="45">
        <f t="shared" si="11"/>
        <v>0</v>
      </c>
      <c r="Y19" s="81" t="str">
        <f t="shared" si="8"/>
        <v>Read (~20 min)</v>
      </c>
      <c r="Z19" s="26" t="b">
        <v>0</v>
      </c>
      <c r="AA19" s="26" t="b">
        <v>0</v>
      </c>
      <c r="AB19" s="26" t="b">
        <v>0</v>
      </c>
      <c r="AC19" s="26" t="b">
        <v>0</v>
      </c>
      <c r="AD19" s="26" t="b">
        <v>0</v>
      </c>
      <c r="AE19" s="26" t="b">
        <v>0</v>
      </c>
      <c r="AF19" s="29" t="b">
        <v>0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0</v>
      </c>
      <c r="AA20" s="26" t="b">
        <v>0</v>
      </c>
      <c r="AB20" s="26" t="b">
        <v>0</v>
      </c>
      <c r="AC20" s="26" t="b">
        <v>0</v>
      </c>
      <c r="AD20" s="26" t="b">
        <v>0</v>
      </c>
      <c r="AE20" s="26" t="b">
        <v>0</v>
      </c>
      <c r="AF20" s="32" t="b">
        <v>0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COUNTIF(Z10:Z21,True)/COUNTA(Z10:Z21)</f>
        <v>0</v>
      </c>
      <c r="AA22" s="135">
        <f t="shared" si="12"/>
        <v>0</v>
      </c>
      <c r="AB22" s="135">
        <f t="shared" si="12"/>
        <v>0</v>
      </c>
      <c r="AC22" s="135">
        <f t="shared" si="12"/>
        <v>0</v>
      </c>
      <c r="AD22" s="135">
        <f t="shared" si="12"/>
        <v>0</v>
      </c>
      <c r="AE22" s="135">
        <f t="shared" si="12"/>
        <v>0</v>
      </c>
      <c r="AF22" s="135">
        <f t="shared" si="12"/>
        <v>0</v>
      </c>
      <c r="AG22" s="71"/>
    </row>
    <row r="23">
      <c r="A23" s="127"/>
      <c r="B23" s="139" t="s">
        <v>35</v>
      </c>
      <c r="C23" s="97">
        <f>R5+1</f>
        <v>45915</v>
      </c>
      <c r="D23" s="108">
        <f t="shared" ref="D23:I23" si="13">C23+1</f>
        <v>45916</v>
      </c>
      <c r="E23" s="108">
        <f t="shared" si="13"/>
        <v>45917</v>
      </c>
      <c r="F23" s="108">
        <f t="shared" si="13"/>
        <v>45918</v>
      </c>
      <c r="G23" s="108">
        <f t="shared" si="13"/>
        <v>45919</v>
      </c>
      <c r="H23" s="108">
        <f t="shared" si="13"/>
        <v>45920</v>
      </c>
      <c r="I23" s="111">
        <f t="shared" si="13"/>
        <v>45921</v>
      </c>
      <c r="J23" s="52"/>
      <c r="K23" s="110" t="s">
        <v>36</v>
      </c>
      <c r="L23" s="108">
        <f>I23+1</f>
        <v>45922</v>
      </c>
      <c r="M23" s="108">
        <f t="shared" ref="M23:R23" si="14">L23+1</f>
        <v>45923</v>
      </c>
      <c r="N23" s="108">
        <f t="shared" si="14"/>
        <v>45924</v>
      </c>
      <c r="O23" s="108">
        <f t="shared" si="14"/>
        <v>45925</v>
      </c>
      <c r="P23" s="108">
        <f t="shared" si="14"/>
        <v>45926</v>
      </c>
      <c r="Q23" s="108">
        <f t="shared" si="14"/>
        <v>45927</v>
      </c>
      <c r="R23" s="111">
        <f t="shared" si="14"/>
        <v>45928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0</v>
      </c>
      <c r="V24" s="26" t="b">
        <v>0</v>
      </c>
      <c r="W24" s="32" t="b">
        <v>0</v>
      </c>
      <c r="Y24" s="90" t="s">
        <v>48</v>
      </c>
      <c r="Z24" s="53" t="str">
        <f>IFERROR(__xludf.DUMMYFUNCTION("SPARKLINE((SUM(Z22:AF22)+3*W34)/10,{""charttype"",""bar"";""max"",1;""min"",0;""color1"",IF((SUM(Z22:AF22)+3*W34)/10&gt;0.7,""green"",IF((SUM(Z22:AF22)+3*W34)/10&gt;0.5,""yellow"",""red""))})"),"")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0</v>
      </c>
      <c r="D25" s="26" t="b">
        <v>0</v>
      </c>
      <c r="E25" s="26" t="b">
        <v>0</v>
      </c>
      <c r="F25" s="28" t="b">
        <v>0</v>
      </c>
      <c r="G25" s="27" t="b">
        <v>0</v>
      </c>
      <c r="H25" s="26" t="b">
        <v>0</v>
      </c>
      <c r="I25" s="29" t="b">
        <v>0</v>
      </c>
      <c r="J25" s="30"/>
      <c r="K25" s="81" t="str">
        <f t="shared" ref="K25:K35" si="18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0</v>
      </c>
      <c r="V25" s="26" t="b">
        <v>0</v>
      </c>
      <c r="W25" s="32" t="b">
        <v>0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0</v>
      </c>
      <c r="E26" s="27" t="b">
        <v>0</v>
      </c>
      <c r="F26" s="26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8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0</v>
      </c>
      <c r="V26" s="26" t="b">
        <v>0</v>
      </c>
      <c r="W26" s="32" t="b">
        <v>0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0</v>
      </c>
      <c r="D27" s="26" t="b">
        <v>0</v>
      </c>
      <c r="E27" s="26" t="b">
        <v>0</v>
      </c>
      <c r="F27" s="28" t="b">
        <v>0</v>
      </c>
      <c r="G27" s="26" t="b">
        <v>0</v>
      </c>
      <c r="H27" s="26" t="b">
        <v>0</v>
      </c>
      <c r="I27" s="32" t="b">
        <v>0</v>
      </c>
      <c r="J27" s="30"/>
      <c r="K27" s="81" t="str">
        <f t="shared" si="18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32" t="b">
        <v>0</v>
      </c>
      <c r="T27" s="82" t="s">
        <v>12</v>
      </c>
      <c r="U27" s="26" t="b">
        <v>0</v>
      </c>
      <c r="V27" s="26" t="b">
        <v>0</v>
      </c>
      <c r="W27" s="32" t="b">
        <v>0</v>
      </c>
      <c r="Y27" s="82" t="s">
        <v>28</v>
      </c>
      <c r="Z27" s="32" t="b">
        <v>0</v>
      </c>
      <c r="AF27" s="133"/>
      <c r="AG27" s="133"/>
    </row>
    <row r="28">
      <c r="A28" s="127"/>
      <c r="B28" s="82" t="str">
        <f t="shared" si="17"/>
        <v>Eat in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32" t="b">
        <v>0</v>
      </c>
      <c r="J28" s="30"/>
      <c r="K28" s="81" t="str">
        <f t="shared" si="18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32" t="b">
        <v>0</v>
      </c>
      <c r="T28" s="82" t="s">
        <v>14</v>
      </c>
      <c r="U28" s="26" t="b">
        <v>0</v>
      </c>
      <c r="V28" s="26" t="b">
        <v>0</v>
      </c>
      <c r="W28" s="32" t="b">
        <v>0</v>
      </c>
      <c r="Y28" s="82" t="s">
        <v>47</v>
      </c>
      <c r="Z28" s="32" t="b">
        <v>0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8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32" t="b">
        <v>0</v>
      </c>
      <c r="T29" s="82" t="s">
        <v>16</v>
      </c>
      <c r="U29" s="26" t="b">
        <v>0</v>
      </c>
      <c r="V29" s="26" t="b">
        <v>0</v>
      </c>
      <c r="W29" s="32" t="b">
        <v>0</v>
      </c>
      <c r="Y29" s="82" t="s">
        <v>30</v>
      </c>
      <c r="Z29" s="32" t="b">
        <v>0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0</v>
      </c>
      <c r="D30" s="26" t="b">
        <v>0</v>
      </c>
      <c r="E30" s="26" t="b">
        <v>0</v>
      </c>
      <c r="F30" s="26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8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26" t="b">
        <v>0</v>
      </c>
      <c r="W30" s="32" t="b">
        <v>0</v>
      </c>
      <c r="Y30" s="82" t="s">
        <v>32</v>
      </c>
      <c r="Z30" s="32" t="b">
        <v>0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0</v>
      </c>
      <c r="E31" s="26" t="b">
        <v>0</v>
      </c>
      <c r="F31" s="26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0</v>
      </c>
      <c r="V31" s="26" t="b">
        <v>0</v>
      </c>
      <c r="W31" s="32" t="b">
        <v>0</v>
      </c>
      <c r="Y31" s="85" t="s">
        <v>34</v>
      </c>
      <c r="Z31" s="32" t="b">
        <v>0</v>
      </c>
      <c r="AF31" s="145"/>
      <c r="AG31" s="145"/>
    </row>
    <row r="32">
      <c r="A32" s="127"/>
      <c r="B32" s="82" t="str">
        <f t="shared" si="17"/>
        <v>7 hours sleep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32" t="b">
        <v>0</v>
      </c>
      <c r="J32" s="30"/>
      <c r="K32" s="81" t="str">
        <f t="shared" si="18"/>
        <v>7 hours sleep</v>
      </c>
      <c r="L32" s="26" t="b">
        <v>0</v>
      </c>
      <c r="M32" s="26" t="b">
        <v>0</v>
      </c>
      <c r="N32" s="26" t="b">
        <v>0</v>
      </c>
      <c r="O32" s="26" t="b">
        <v>0</v>
      </c>
      <c r="P32" s="26" t="b">
        <v>0</v>
      </c>
      <c r="Q32" s="26" t="b">
        <v>0</v>
      </c>
      <c r="R32" s="32" t="b">
        <v>0</v>
      </c>
      <c r="T32" s="82" t="s">
        <v>22</v>
      </c>
      <c r="U32" s="26" t="b">
        <v>0</v>
      </c>
      <c r="V32" s="26" t="b">
        <v>0</v>
      </c>
      <c r="W32" s="32" t="b">
        <v>0</v>
      </c>
      <c r="Y32" s="91" t="s">
        <v>27</v>
      </c>
      <c r="Z32" s="92">
        <f>COUNTIF(Z27:Z31,True)/COUNTA(Z27:Z31)</f>
        <v>0</v>
      </c>
      <c r="AF32" s="71"/>
      <c r="AG32" s="71"/>
    </row>
    <row r="33">
      <c r="A33" s="127"/>
      <c r="B33" s="82" t="str">
        <f t="shared" si="17"/>
        <v>Clean (~20 min)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8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32" t="b">
        <v>0</v>
      </c>
      <c r="T33" s="85" t="s">
        <v>24</v>
      </c>
      <c r="U33" s="38" t="b">
        <v>0</v>
      </c>
      <c r="V33" s="38" t="b">
        <v>0</v>
      </c>
      <c r="W33" s="32" t="b">
        <v>0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32" t="b">
        <v>0</v>
      </c>
      <c r="J34" s="30"/>
      <c r="K34" s="81" t="str">
        <f t="shared" si="18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W34" si="19">COUNTIF(U24:U33,True)/COUNTA(U24:U33)</f>
        <v>0</v>
      </c>
      <c r="V34" s="68">
        <f t="shared" si="19"/>
        <v>0</v>
      </c>
      <c r="W34" s="146">
        <f t="shared" si="19"/>
        <v>0</v>
      </c>
    </row>
    <row r="35">
      <c r="A35" s="133"/>
      <c r="B35" s="81" t="str">
        <f t="shared" si="17"/>
        <v>Vitamins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8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32" t="b">
        <v>0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</v>
      </c>
      <c r="D37" s="44">
        <f t="shared" si="20"/>
        <v>0</v>
      </c>
      <c r="E37" s="44">
        <f t="shared" si="20"/>
        <v>0</v>
      </c>
      <c r="F37" s="44">
        <f t="shared" si="20"/>
        <v>0</v>
      </c>
      <c r="G37" s="44">
        <f t="shared" si="20"/>
        <v>0</v>
      </c>
      <c r="H37" s="44">
        <f t="shared" si="20"/>
        <v>0</v>
      </c>
      <c r="I37" s="45">
        <f t="shared" si="20"/>
        <v>0</v>
      </c>
      <c r="J37" s="21"/>
      <c r="K37" s="134" t="s">
        <v>27</v>
      </c>
      <c r="L37" s="135">
        <f t="shared" ref="L37:R37" si="21">COUNTIF(L25:L36,True)/COUNTA(L25:L36)</f>
        <v>0</v>
      </c>
      <c r="M37" s="135">
        <f t="shared" si="21"/>
        <v>0</v>
      </c>
      <c r="N37" s="135">
        <f t="shared" si="21"/>
        <v>0</v>
      </c>
      <c r="O37" s="135">
        <f t="shared" si="21"/>
        <v>0</v>
      </c>
      <c r="P37" s="135">
        <f t="shared" si="21"/>
        <v>0</v>
      </c>
      <c r="Q37" s="135">
        <f t="shared" si="21"/>
        <v>0</v>
      </c>
      <c r="R37" s="135">
        <f t="shared" si="21"/>
        <v>0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4.25"/>
    <col customWidth="1" min="24" max="24" width="13.5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X1" s="116"/>
      <c r="Y1" s="117"/>
    </row>
    <row r="2">
      <c r="A2" s="118"/>
      <c r="B2" s="1"/>
      <c r="D2" s="2" t="str">
        <f>IFERROR(__xludf.DUMMYFUNCTION("SPARKLINE((SUM(C19:I19)+3*SUM(U19:V19) + SUM(L19:R19) + SUM(C37:I37) + SUM(L37:R37) + 3*SUM(U34:V34)+ 5*SUM(Y22))/45,{""charttype"",""bar"";""max"",1;""min"",0;""color1"",IF((SUM(C19:I19)+3*SUM(U19:V19) + SUM(L19:R19) + SUM(C37:I37) + SUM(L37:R37) + 3*SUM"&amp;"(U34:V34)+ 5*SUM(Y22))/45&gt;0.7,""green"",IF((SUM(C19:I19)+3*SUM(U19:V19) + SUM(L19:R19) + SUM(C37:I37) + SUM(L37:R37) + 3*SUM(U34:V34)+ 5*SUM(Y22))/45&gt;0.5,""yellow"",""red""))})"),"")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X2" s="116"/>
      <c r="Y2" s="116"/>
    </row>
    <row r="3">
      <c r="A3" s="120"/>
      <c r="B3" s="8">
        <f>C5</f>
        <v>44956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X3" s="116"/>
      <c r="Y3" s="116"/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X4" s="116"/>
      <c r="Y4" s="117"/>
    </row>
    <row r="5">
      <c r="A5" s="124"/>
      <c r="B5" s="96" t="s">
        <v>1</v>
      </c>
      <c r="C5" s="97">
        <f>'Jan2023'!Q20+1</f>
        <v>44956</v>
      </c>
      <c r="D5" s="98">
        <f t="shared" ref="D5:I5" si="1">C5+1</f>
        <v>44957</v>
      </c>
      <c r="E5" s="98">
        <f t="shared" si="1"/>
        <v>44958</v>
      </c>
      <c r="F5" s="98">
        <f t="shared" si="1"/>
        <v>44959</v>
      </c>
      <c r="G5" s="98">
        <f t="shared" si="1"/>
        <v>44960</v>
      </c>
      <c r="H5" s="98">
        <f t="shared" si="1"/>
        <v>44961</v>
      </c>
      <c r="I5" s="125">
        <f t="shared" si="1"/>
        <v>44962</v>
      </c>
      <c r="J5" s="17"/>
      <c r="K5" s="126" t="s">
        <v>2</v>
      </c>
      <c r="L5" s="98">
        <f>I5+1</f>
        <v>44963</v>
      </c>
      <c r="M5" s="98">
        <f t="shared" ref="M5:R5" si="2">L5+1</f>
        <v>44964</v>
      </c>
      <c r="N5" s="98">
        <f t="shared" si="2"/>
        <v>44965</v>
      </c>
      <c r="O5" s="98">
        <f t="shared" si="2"/>
        <v>44966</v>
      </c>
      <c r="P5" s="98">
        <f t="shared" si="2"/>
        <v>44967</v>
      </c>
      <c r="Q5" s="98">
        <f t="shared" si="2"/>
        <v>44968</v>
      </c>
      <c r="R5" s="125">
        <f t="shared" si="2"/>
        <v>44969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0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  <c r="X7" s="129">
        <f>(SUM(C19:I19)+3*SUM(U19:V19) + SUM(L19:R19) + SUM(C37:I37) + SUM(L37:R37) + 3*SUM(U34:V34) + 5*SUM(Y22))/45</f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X8" s="130">
        <f t="array" ref="X8">COUNTIF(C7:I18,TRUE)+COUNTIF(L7:R18,TRUE)+COUNTIF(C25:I36,TRUE)+COUNTIF(L25:R36,TRUE)+3*(COUNTIF(U9:V18,TRUE)+COUNTIF(U24:V33,TRUE))+5*(COUNTIF(Y17:Y21,TRUE))</f>
        <v>0</v>
      </c>
    </row>
    <row r="9">
      <c r="A9" s="128"/>
      <c r="B9" s="79" t="s">
        <v>39</v>
      </c>
      <c r="C9" s="26" t="b">
        <v>0</v>
      </c>
      <c r="D9" s="26" t="b">
        <v>0</v>
      </c>
      <c r="E9" s="26" t="b">
        <v>0</v>
      </c>
      <c r="F9" s="28" t="b">
        <v>0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0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0</v>
      </c>
      <c r="V9" s="32" t="b">
        <v>0</v>
      </c>
      <c r="X9" s="131" t="str">
        <f>X8 + 'Feb2023'!X1</f>
        <v>#REF!</v>
      </c>
    </row>
    <row r="10">
      <c r="A10" s="128"/>
      <c r="B10" s="79" t="s">
        <v>11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0</v>
      </c>
      <c r="V10" s="32" t="b">
        <v>0</v>
      </c>
    </row>
    <row r="11">
      <c r="A11" s="132"/>
      <c r="B11" s="95" t="s">
        <v>13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0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0</v>
      </c>
      <c r="V11" s="32" t="b">
        <v>0</v>
      </c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0</v>
      </c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</row>
    <row r="14">
      <c r="A14" s="128"/>
      <c r="B14" s="79" t="s">
        <v>19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0</v>
      </c>
      <c r="M14" s="26" t="b">
        <v>0</v>
      </c>
      <c r="N14" s="26" t="b">
        <v>0</v>
      </c>
      <c r="O14" s="26" t="b">
        <v>0</v>
      </c>
      <c r="P14" s="26" t="b">
        <v>0</v>
      </c>
      <c r="Q14" s="26" t="b">
        <v>0</v>
      </c>
      <c r="R14" s="32" t="b">
        <v>0</v>
      </c>
      <c r="T14" s="82" t="s">
        <v>16</v>
      </c>
      <c r="U14" s="26" t="b">
        <v>0</v>
      </c>
      <c r="V14" s="32" t="b">
        <v>0</v>
      </c>
    </row>
    <row r="15">
      <c r="A15" s="128"/>
      <c r="B15" s="79" t="s">
        <v>21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0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0</v>
      </c>
      <c r="V15" s="32" t="b">
        <v>0</v>
      </c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0</v>
      </c>
      <c r="V16" s="32" t="b">
        <v>0</v>
      </c>
      <c r="X16" s="40" t="s">
        <v>25</v>
      </c>
      <c r="Y16" s="41"/>
    </row>
    <row r="17">
      <c r="A17" s="133"/>
      <c r="B17" s="81" t="s">
        <v>26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0</v>
      </c>
      <c r="V17" s="32" t="b">
        <v>0</v>
      </c>
      <c r="X17" s="82" t="s">
        <v>28</v>
      </c>
      <c r="Y17" s="32" t="b">
        <v>0</v>
      </c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X18" s="82" t="s">
        <v>47</v>
      </c>
      <c r="Y18" s="32" t="b">
        <v>0</v>
      </c>
    </row>
    <row r="19">
      <c r="A19" s="127"/>
      <c r="B19" s="88" t="s">
        <v>27</v>
      </c>
      <c r="C19" s="44">
        <f t="shared" ref="C19:I19" si="6">COUNTIF(C7:C18,True)/COUNTA(C7:C18)</f>
        <v>0</v>
      </c>
      <c r="D19" s="44">
        <f t="shared" si="6"/>
        <v>0</v>
      </c>
      <c r="E19" s="44">
        <f t="shared" si="6"/>
        <v>0</v>
      </c>
      <c r="F19" s="44">
        <f t="shared" si="6"/>
        <v>0</v>
      </c>
      <c r="G19" s="44">
        <f t="shared" si="6"/>
        <v>0</v>
      </c>
      <c r="H19" s="44">
        <f t="shared" si="6"/>
        <v>0</v>
      </c>
      <c r="I19" s="45">
        <f t="shared" si="6"/>
        <v>0</v>
      </c>
      <c r="J19" s="21"/>
      <c r="K19" s="89" t="s">
        <v>27</v>
      </c>
      <c r="L19" s="44">
        <f t="shared" ref="L19:R19" si="7">COUNTIF(L7:L18,True)/COUNTA(L7:L18)</f>
        <v>0</v>
      </c>
      <c r="M19" s="44">
        <f t="shared" si="7"/>
        <v>0</v>
      </c>
      <c r="N19" s="44">
        <f t="shared" si="7"/>
        <v>0</v>
      </c>
      <c r="O19" s="44">
        <f t="shared" si="7"/>
        <v>0</v>
      </c>
      <c r="P19" s="44">
        <f t="shared" si="7"/>
        <v>0</v>
      </c>
      <c r="Q19" s="44">
        <f t="shared" si="7"/>
        <v>0</v>
      </c>
      <c r="R19" s="44">
        <f t="shared" si="7"/>
        <v>0</v>
      </c>
      <c r="T19" s="88" t="s">
        <v>27</v>
      </c>
      <c r="U19" s="44">
        <f t="shared" ref="U19:V19" si="8">COUNTIF(U9:U18,True)/COUNTA(U9:U18)</f>
        <v>0</v>
      </c>
      <c r="V19" s="45">
        <f t="shared" si="8"/>
        <v>0</v>
      </c>
      <c r="X19" s="82" t="s">
        <v>30</v>
      </c>
      <c r="Y19" s="32" t="b">
        <v>0</v>
      </c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/>
      <c r="V20" s="45"/>
      <c r="X20" s="82" t="s">
        <v>32</v>
      </c>
      <c r="Y20" s="32" t="b">
        <v>0</v>
      </c>
    </row>
    <row r="21">
      <c r="A21" s="70"/>
      <c r="B21" s="90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IFERROR(__xludf.DUMMYFUNCTION("SPARKLINE(U19,{""charttype"",""bar"";""max"",1;""min"",0;""color1"",IF(U19&gt;0.7,""green"",IF(U19&gt;0.5,""yellow"",""red""))})"),"")</f>
        <v/>
      </c>
      <c r="V21" s="50" t="str">
        <f>IFERROR(__xludf.DUMMYFUNCTION("SPARKLINE(V19,{""charttype"",""bar"";""max"",1;""min"",0;""color1"",IF(V19&gt;0.7,""green"",IF(V19&gt;0.5,""yellow"",""red""))})"),"")</f>
        <v/>
      </c>
      <c r="X21" s="85" t="s">
        <v>34</v>
      </c>
      <c r="Y21" s="32" t="b">
        <v>0</v>
      </c>
    </row>
    <row r="22">
      <c r="A22" s="70"/>
      <c r="B22" s="5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91" t="s">
        <v>27</v>
      </c>
      <c r="Y22" s="92">
        <f>COUNTIF(Y17:Y21,True)/COUNTA(Y17:Y21)</f>
        <v>0</v>
      </c>
      <c r="Z22" s="56"/>
      <c r="AA22" s="56"/>
    </row>
    <row r="23">
      <c r="A23" s="127"/>
      <c r="B23" s="107" t="s">
        <v>35</v>
      </c>
      <c r="C23" s="97">
        <f>R5+1</f>
        <v>44970</v>
      </c>
      <c r="D23" s="108">
        <f t="shared" ref="D23:I23" si="9">C23+1</f>
        <v>44971</v>
      </c>
      <c r="E23" s="108">
        <f t="shared" si="9"/>
        <v>44972</v>
      </c>
      <c r="F23" s="108">
        <f t="shared" si="9"/>
        <v>44973</v>
      </c>
      <c r="G23" s="108">
        <f t="shared" si="9"/>
        <v>44974</v>
      </c>
      <c r="H23" s="108">
        <f t="shared" si="9"/>
        <v>44975</v>
      </c>
      <c r="I23" s="111">
        <f t="shared" si="9"/>
        <v>44976</v>
      </c>
      <c r="J23" s="52"/>
      <c r="K23" s="110" t="s">
        <v>36</v>
      </c>
      <c r="L23" s="108">
        <f>I23+1</f>
        <v>44977</v>
      </c>
      <c r="M23" s="108">
        <f t="shared" ref="M23:R23" si="10">L23+1</f>
        <v>44978</v>
      </c>
      <c r="N23" s="108">
        <f t="shared" si="10"/>
        <v>44979</v>
      </c>
      <c r="O23" s="108">
        <f t="shared" si="10"/>
        <v>44980</v>
      </c>
      <c r="P23" s="108">
        <f t="shared" si="10"/>
        <v>44981</v>
      </c>
      <c r="Q23" s="108">
        <f t="shared" si="10"/>
        <v>44982</v>
      </c>
      <c r="R23" s="111">
        <f t="shared" si="10"/>
        <v>44983</v>
      </c>
      <c r="T23" s="105" t="s">
        <v>4</v>
      </c>
      <c r="U23" s="23" t="s">
        <v>35</v>
      </c>
      <c r="V23" s="24" t="s">
        <v>36</v>
      </c>
      <c r="X23" s="90" t="s">
        <v>29</v>
      </c>
      <c r="Y23" s="50" t="str">
        <f>IFERROR(__xludf.DUMMYFUNCTION("SPARKLINE(Y22,{""charttype"",""bar"";""max"",1;""min"",0;""color1"",IF(Y22&gt;0.7,""green"",IF(Y22&gt;0.5,""yellow"",""red""))})"),"")</f>
        <v/>
      </c>
    </row>
    <row r="24">
      <c r="A24" s="127"/>
      <c r="B24" s="100" t="s">
        <v>3</v>
      </c>
      <c r="C24" s="101" t="str">
        <f t="shared" ref="C24:I24" si="11">CHOOSE(WEEKDAY(C23,2),"Mon","Tue","Wed","Thu","Fri","Sat","Sun")</f>
        <v>Mon</v>
      </c>
      <c r="D24" s="101" t="str">
        <f t="shared" si="11"/>
        <v>Tue</v>
      </c>
      <c r="E24" s="101" t="str">
        <f t="shared" si="11"/>
        <v>Wed</v>
      </c>
      <c r="F24" s="101" t="str">
        <f t="shared" si="11"/>
        <v>Thu</v>
      </c>
      <c r="G24" s="101" t="str">
        <f t="shared" si="11"/>
        <v>Fri</v>
      </c>
      <c r="H24" s="101" t="str">
        <f t="shared" si="11"/>
        <v>Sat</v>
      </c>
      <c r="I24" s="102" t="str">
        <f t="shared" si="11"/>
        <v>Sun</v>
      </c>
      <c r="J24" s="21"/>
      <c r="K24" s="140" t="s">
        <v>3</v>
      </c>
      <c r="L24" s="101" t="str">
        <f t="shared" ref="L24:R24" si="12">CHOOSE(WEEKDAY(L23,2),"Mon","Tue","Wed","Thu","Fri","Sat","Sun")</f>
        <v>Mon</v>
      </c>
      <c r="M24" s="101" t="str">
        <f t="shared" si="12"/>
        <v>Tue</v>
      </c>
      <c r="N24" s="101" t="str">
        <f t="shared" si="12"/>
        <v>Wed</v>
      </c>
      <c r="O24" s="101" t="str">
        <f t="shared" si="12"/>
        <v>Thu</v>
      </c>
      <c r="P24" s="101" t="str">
        <f t="shared" si="12"/>
        <v>Fri</v>
      </c>
      <c r="Q24" s="101" t="str">
        <f t="shared" si="12"/>
        <v>Sat</v>
      </c>
      <c r="R24" s="102" t="str">
        <f t="shared" si="12"/>
        <v>Sun</v>
      </c>
      <c r="T24" s="82" t="s">
        <v>6</v>
      </c>
      <c r="U24" s="26" t="b">
        <v>0</v>
      </c>
      <c r="V24" s="32" t="b">
        <v>0</v>
      </c>
    </row>
    <row r="25">
      <c r="A25" s="127"/>
      <c r="B25" s="82" t="str">
        <f t="shared" ref="B25:B36" si="13">B7</f>
        <v>Exercise</v>
      </c>
      <c r="C25" s="26" t="b">
        <v>0</v>
      </c>
      <c r="D25" s="26" t="b">
        <v>0</v>
      </c>
      <c r="E25" s="27" t="b">
        <v>0</v>
      </c>
      <c r="F25" s="28" t="b">
        <v>0</v>
      </c>
      <c r="G25" s="27" t="b">
        <v>0</v>
      </c>
      <c r="H25" s="27" t="b">
        <v>0</v>
      </c>
      <c r="I25" s="29" t="b">
        <v>0</v>
      </c>
      <c r="J25" s="30"/>
      <c r="K25" s="81" t="str">
        <f t="shared" ref="K25:K35" si="14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0</v>
      </c>
      <c r="V25" s="32" t="b">
        <v>0</v>
      </c>
    </row>
    <row r="26">
      <c r="A26" s="127"/>
      <c r="B26" s="82" t="str">
        <f t="shared" si="13"/>
        <v>Stretch/Yoga (&gt;20min)</v>
      </c>
      <c r="C26" s="26" t="b">
        <v>0</v>
      </c>
      <c r="D26" s="26" t="b">
        <v>0</v>
      </c>
      <c r="E26" s="27" t="b">
        <v>0</v>
      </c>
      <c r="F26" s="27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4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0</v>
      </c>
      <c r="V26" s="32" t="b">
        <v>0</v>
      </c>
    </row>
    <row r="27">
      <c r="A27" s="127"/>
      <c r="B27" s="82" t="str">
        <f t="shared" si="13"/>
        <v>Social Media (&lt;limit)</v>
      </c>
      <c r="C27" s="26" t="b">
        <v>0</v>
      </c>
      <c r="D27" s="26" t="b">
        <v>0</v>
      </c>
      <c r="E27" s="26" t="b">
        <v>0</v>
      </c>
      <c r="F27" s="28" t="b">
        <v>0</v>
      </c>
      <c r="G27" s="27" t="b">
        <v>0</v>
      </c>
      <c r="H27" s="26" t="b">
        <v>0</v>
      </c>
      <c r="I27" s="32" t="b">
        <v>0</v>
      </c>
      <c r="J27" s="30"/>
      <c r="K27" s="81" t="str">
        <f t="shared" si="14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29" t="b">
        <v>0</v>
      </c>
      <c r="T27" s="82" t="s">
        <v>12</v>
      </c>
      <c r="U27" s="26" t="b">
        <v>0</v>
      </c>
      <c r="V27" s="32" t="b">
        <v>0</v>
      </c>
    </row>
    <row r="28">
      <c r="A28" s="127"/>
      <c r="B28" s="82" t="str">
        <f t="shared" si="13"/>
        <v>Eat in</v>
      </c>
      <c r="C28" s="26" t="b">
        <v>0</v>
      </c>
      <c r="D28" s="26" t="b">
        <v>0</v>
      </c>
      <c r="E28" s="26" t="b">
        <v>0</v>
      </c>
      <c r="F28" s="27" t="b">
        <v>0</v>
      </c>
      <c r="G28" s="26" t="b">
        <v>0</v>
      </c>
      <c r="H28" s="26" t="b">
        <v>0</v>
      </c>
      <c r="I28" s="29" t="b">
        <v>0</v>
      </c>
      <c r="J28" s="30"/>
      <c r="K28" s="81" t="str">
        <f t="shared" si="14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29" t="b">
        <v>0</v>
      </c>
      <c r="T28" s="82" t="s">
        <v>14</v>
      </c>
      <c r="U28" s="26" t="b">
        <v>0</v>
      </c>
      <c r="V28" s="32" t="b">
        <v>0</v>
      </c>
    </row>
    <row r="29">
      <c r="A29" s="132"/>
      <c r="B29" s="95" t="str">
        <f t="shared" si="13"/>
        <v>Review Budget/Goals</v>
      </c>
      <c r="C29" s="26" t="b">
        <v>0</v>
      </c>
      <c r="D29" s="26" t="b">
        <v>0</v>
      </c>
      <c r="E29" s="26" t="b">
        <v>0</v>
      </c>
      <c r="F29" s="27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4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29" t="b">
        <v>0</v>
      </c>
      <c r="T29" s="82" t="s">
        <v>16</v>
      </c>
      <c r="U29" s="26" t="b">
        <v>0</v>
      </c>
      <c r="V29" s="32" t="b">
        <v>0</v>
      </c>
    </row>
    <row r="30">
      <c r="A30" s="127"/>
      <c r="B30" s="82" t="str">
        <f t="shared" si="13"/>
        <v>(2x)Brush+(1x)Floss</v>
      </c>
      <c r="C30" s="26" t="b">
        <v>0</v>
      </c>
      <c r="D30" s="26" t="b">
        <v>0</v>
      </c>
      <c r="E30" s="26" t="b">
        <v>0</v>
      </c>
      <c r="F30" s="27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4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32" t="b">
        <v>0</v>
      </c>
    </row>
    <row r="31">
      <c r="A31" s="127"/>
      <c r="B31" s="82" t="str">
        <f t="shared" si="13"/>
        <v>Water (3L)</v>
      </c>
      <c r="C31" s="26" t="b">
        <v>0</v>
      </c>
      <c r="D31" s="26" t="b">
        <v>0</v>
      </c>
      <c r="E31" s="26" t="b">
        <v>0</v>
      </c>
      <c r="F31" s="27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4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0</v>
      </c>
      <c r="V31" s="32" t="b">
        <v>0</v>
      </c>
    </row>
    <row r="32">
      <c r="A32" s="127"/>
      <c r="B32" s="82" t="str">
        <f t="shared" si="13"/>
        <v>7 hours sleep</v>
      </c>
      <c r="C32" s="26" t="b">
        <v>0</v>
      </c>
      <c r="D32" s="26" t="b">
        <v>0</v>
      </c>
      <c r="E32" s="27" t="b">
        <v>0</v>
      </c>
      <c r="F32" s="27" t="b">
        <v>0</v>
      </c>
      <c r="G32" s="27" t="b">
        <v>0</v>
      </c>
      <c r="H32" s="26" t="b">
        <v>0</v>
      </c>
      <c r="I32" s="32" t="b">
        <v>0</v>
      </c>
      <c r="J32" s="30"/>
      <c r="K32" s="81" t="str">
        <f t="shared" si="14"/>
        <v>7 hours sleep</v>
      </c>
      <c r="L32" s="26" t="b">
        <v>0</v>
      </c>
      <c r="M32" s="26" t="b">
        <v>0</v>
      </c>
      <c r="N32" s="26" t="b">
        <v>0</v>
      </c>
      <c r="O32" s="26" t="b">
        <v>0</v>
      </c>
      <c r="P32" s="26" t="b">
        <v>0</v>
      </c>
      <c r="Q32" s="26" t="b">
        <v>0</v>
      </c>
      <c r="R32" s="29" t="b">
        <v>0</v>
      </c>
      <c r="T32" s="82" t="s">
        <v>22</v>
      </c>
      <c r="U32" s="26" t="b">
        <v>0</v>
      </c>
      <c r="V32" s="32" t="b">
        <v>0</v>
      </c>
    </row>
    <row r="33">
      <c r="A33" s="127"/>
      <c r="B33" s="82" t="str">
        <f t="shared" si="13"/>
        <v>Clean (~20 min)</v>
      </c>
      <c r="C33" s="26" t="b">
        <v>0</v>
      </c>
      <c r="D33" s="26" t="b">
        <v>0</v>
      </c>
      <c r="E33" s="26" t="b">
        <v>0</v>
      </c>
      <c r="F33" s="27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4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29" t="b">
        <v>0</v>
      </c>
      <c r="T33" s="85" t="s">
        <v>24</v>
      </c>
      <c r="U33" s="38" t="b">
        <v>0</v>
      </c>
      <c r="V33" s="39" t="b">
        <v>0</v>
      </c>
    </row>
    <row r="34">
      <c r="A34" s="127"/>
      <c r="B34" s="82" t="str">
        <f t="shared" si="13"/>
        <v>Read (~20 min)</v>
      </c>
      <c r="C34" s="26" t="b">
        <v>0</v>
      </c>
      <c r="D34" s="26" t="b">
        <v>0</v>
      </c>
      <c r="E34" s="27" t="b">
        <v>0</v>
      </c>
      <c r="F34" s="27" t="b">
        <v>0</v>
      </c>
      <c r="G34" s="27" t="b">
        <v>0</v>
      </c>
      <c r="H34" s="26" t="b">
        <v>0</v>
      </c>
      <c r="I34" s="32" t="b">
        <v>0</v>
      </c>
      <c r="J34" s="30"/>
      <c r="K34" s="81" t="str">
        <f t="shared" si="14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29" t="b">
        <v>0</v>
      </c>
      <c r="T34" s="88" t="s">
        <v>27</v>
      </c>
      <c r="U34" s="68">
        <f t="shared" ref="U34:V34" si="15">COUNTIF(U24:U33,True)/COUNTA(U24:U33)</f>
        <v>0</v>
      </c>
      <c r="V34" s="69">
        <f t="shared" si="15"/>
        <v>0</v>
      </c>
    </row>
    <row r="35">
      <c r="A35" s="133"/>
      <c r="B35" s="81" t="str">
        <f t="shared" si="13"/>
        <v>Vitamins</v>
      </c>
      <c r="C35" s="26" t="b">
        <v>0</v>
      </c>
      <c r="D35" s="26" t="b">
        <v>0</v>
      </c>
      <c r="E35" s="27" t="b">
        <v>0</v>
      </c>
      <c r="F35" s="27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4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29" t="b">
        <v>0</v>
      </c>
      <c r="T35" s="88"/>
      <c r="U35" s="68"/>
      <c r="V35" s="69"/>
    </row>
    <row r="36">
      <c r="A36" s="133"/>
      <c r="B36" s="86" t="str">
        <f t="shared" si="13"/>
        <v>Duolingo</v>
      </c>
      <c r="C36" s="38" t="b">
        <v>0</v>
      </c>
      <c r="D36" s="38" t="b">
        <v>0</v>
      </c>
      <c r="E36" s="67" t="b">
        <v>0</v>
      </c>
      <c r="F36" s="38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IFERROR(__xludf.DUMMYFUNCTION("SPARKLINE(U34,{""charttype"",""bar"";""max"",1;""min"",0;""color1"",IF(U34&gt;0.7,""green"",IF(U34&gt;0.5,""yellow"",""red""))})"),"")</f>
        <v/>
      </c>
      <c r="V36" s="50" t="str">
        <f>IFERROR(__xludf.DUMMYFUNCTION("SPARKLINE(V34,{""charttype"",""bar"";""max"",1;""min"",0;""color1"",IF(V34&gt;0.7,""green"",IF(V34&gt;0.5,""yellow"",""red""))})"),"")</f>
        <v/>
      </c>
    </row>
    <row r="37">
      <c r="A37" s="127"/>
      <c r="B37" s="88" t="s">
        <v>27</v>
      </c>
      <c r="C37" s="44">
        <f t="shared" ref="C37:I37" si="16">COUNTIF(C25:C36,True)/COUNTA(C25:C36)</f>
        <v>0</v>
      </c>
      <c r="D37" s="44">
        <f t="shared" si="16"/>
        <v>0</v>
      </c>
      <c r="E37" s="44">
        <f t="shared" si="16"/>
        <v>0</v>
      </c>
      <c r="F37" s="44">
        <f t="shared" si="16"/>
        <v>0</v>
      </c>
      <c r="G37" s="44">
        <f t="shared" si="16"/>
        <v>0</v>
      </c>
      <c r="H37" s="44">
        <f t="shared" si="16"/>
        <v>0</v>
      </c>
      <c r="I37" s="45">
        <f t="shared" si="16"/>
        <v>0</v>
      </c>
      <c r="J37" s="21"/>
      <c r="K37" s="89" t="s">
        <v>27</v>
      </c>
      <c r="L37" s="44">
        <f t="shared" ref="L37:R37" si="17">COUNTIF(L25:L36,True)/COUNTA(L25:L36)</f>
        <v>0</v>
      </c>
      <c r="M37" s="44">
        <f t="shared" si="17"/>
        <v>0</v>
      </c>
      <c r="N37" s="44">
        <f t="shared" si="17"/>
        <v>0</v>
      </c>
      <c r="O37" s="44">
        <f t="shared" si="17"/>
        <v>0</v>
      </c>
      <c r="P37" s="44">
        <f t="shared" si="17"/>
        <v>0</v>
      </c>
      <c r="Q37" s="44">
        <f t="shared" si="17"/>
        <v>0</v>
      </c>
      <c r="R37" s="44">
        <f t="shared" si="17"/>
        <v>0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7">
    <mergeCell ref="D2:R3"/>
    <mergeCell ref="S2:S3"/>
    <mergeCell ref="X16:Y16"/>
    <mergeCell ref="C21:I21"/>
    <mergeCell ref="L21:R21"/>
    <mergeCell ref="C39:I39"/>
    <mergeCell ref="L39:R39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Y22 U34:V35 C37:I37 L37:R37">
    <cfRule type="cellIs" dxfId="1" priority="3" operator="between">
      <formula>0.1</formula>
      <formula>0.25</formula>
    </cfRule>
  </conditionalFormatting>
  <conditionalFormatting sqref="S1:S2 U18:V18 C19:I19 L19:R19 U34:V35 C37:I37 L37:R37">
    <cfRule type="cellIs" dxfId="0" priority="4" operator="between">
      <formula>0.251</formula>
      <formula>0.5</formula>
    </cfRule>
  </conditionalFormatting>
  <conditionalFormatting sqref="U18:V18 C19:I19 L19:R19 U34:V35 C37:I37 L37:R37">
    <cfRule type="cellIs" dxfId="2" priority="5" operator="between">
      <formula>0.51</formula>
      <formula>0.7</formula>
    </cfRule>
  </conditionalFormatting>
  <conditionalFormatting sqref="S1:S2 U18:V18 C19:I19 L19:R19 U34:V35 C37:I37 L37:R37">
    <cfRule type="cellIs" dxfId="3" priority="6" operator="between">
      <formula>0.71</formula>
      <formula>0.99</formula>
    </cfRule>
  </conditionalFormatting>
  <conditionalFormatting sqref="U5:V19 C7:I18 L7:R18 Y17:Y21 U23:V36 C25:I36 L25:R36">
    <cfRule type="cellIs" dxfId="3" priority="7" operator="equal">
      <formula>"TRUE"</formula>
    </cfRule>
  </conditionalFormatting>
  <conditionalFormatting sqref="U5:V18 U23:V36">
    <cfRule type="cellIs" dxfId="3" priority="8" operator="equal">
      <formula>"TRUE"</formula>
    </cfRule>
  </conditionalFormatting>
  <conditionalFormatting sqref="U15:V15 U28:V28">
    <cfRule type="cellIs" dxfId="1" priority="9" operator="between">
      <formula>0.1</formula>
      <formula>0.25</formula>
    </cfRule>
  </conditionalFormatting>
  <conditionalFormatting sqref="U12:V13 U15:V21 Y22 U28:V28">
    <cfRule type="cellIs" dxfId="0" priority="10" operator="between">
      <formula>0.26</formula>
      <formula>0.5</formula>
    </cfRule>
  </conditionalFormatting>
  <conditionalFormatting sqref="S1:S2 U11:V21 Y22 U28:V28 U34:V35">
    <cfRule type="cellIs" dxfId="2" priority="11" operator="between">
      <formula>0.51</formula>
      <formula>0.75</formula>
    </cfRule>
  </conditionalFormatting>
  <conditionalFormatting sqref="U11:V21 Y22 U28:V28 U34:V35">
    <cfRule type="cellIs" dxfId="4" priority="12" operator="between">
      <formula>0.76</formula>
      <formula>0.99</formula>
    </cfRule>
  </conditionalFormatting>
  <conditionalFormatting sqref="S1:S2 U14:V21 C19:I19 L19:R19 Y22 U34:V35 C37:I37 L37:R37">
    <cfRule type="cellIs" dxfId="5" priority="13" operator="greaterThanOrEqual">
      <formula>1</formula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13"/>
    <col customWidth="1" min="2" max="2" width="18.75"/>
    <col customWidth="1" min="3" max="9" width="5.63"/>
    <col customWidth="1" min="10" max="10" width="5.0"/>
    <col customWidth="1" min="11" max="11" width="18.5"/>
    <col customWidth="1" min="12" max="18" width="5.63"/>
    <col customWidth="1" min="19" max="19" width="1.13"/>
    <col customWidth="1" min="20" max="20" width="16.25"/>
    <col customWidth="1" min="21" max="21" width="6.63"/>
    <col customWidth="1" min="22" max="22" width="6.75"/>
    <col customWidth="1" min="23" max="23" width="6.13"/>
    <col customWidth="1" min="24" max="24" width="4.25"/>
    <col customWidth="1" min="25" max="25" width="20.38"/>
    <col customWidth="1" min="26" max="32" width="5.63"/>
    <col customWidth="1" min="33" max="33" width="1.13"/>
  </cols>
  <sheetData>
    <row r="1" ht="5.25" customHeight="1">
      <c r="A1" s="118"/>
      <c r="B1" s="1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114"/>
      <c r="T1" s="115"/>
      <c r="U1" s="7"/>
      <c r="V1" s="7"/>
      <c r="Y1" s="116"/>
      <c r="Z1" s="117"/>
    </row>
    <row r="2">
      <c r="A2" s="118"/>
      <c r="B2" s="1"/>
      <c r="D2" s="2" t="str">
        <f>IFERROR(__xludf.DUMMYFUNCTION("SPARKLINE((SUM(C19:I19)+3*SUM(U19:V19) + SUM(L19:R19) + SUM(C37:I37) + SUM(L37:R37) +SUM(Z22:AF22) + 3*SUM(U34:W34)+ 5*SUM(Z32))/55,{""charttype"",""bar"";""max"",1;""min"",0;""color1"",IF((SUM(C19:I19)+3*SUM(U19:V19) + SUM(L19:R19) + SUM(C37:I37) + SUM(L"&amp;"37:R37) +SUM(Z22:AF22) + 3*SUM(U34:V34)+ 5*SUM(Z32))/52&gt;0.7,""green"",IF((SUM(C19:I19)+3*SUM(U19:V19) + SUM(L19:R19) + SUM(C37:I37) + SUM(L37:R37) +SUM(Z22:AF22) + 3*SUM(U34:V34)+ 5*SUM(Z32))/52&gt;0.5,""yellow"",""red""))})"),"")</f>
        <v/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119"/>
      <c r="T2" s="6"/>
      <c r="U2" s="7"/>
      <c r="V2" s="7"/>
      <c r="Y2" s="116"/>
      <c r="Z2" s="116"/>
      <c r="AA2" s="141" t="s">
        <v>50</v>
      </c>
      <c r="AB2" s="129">
        <f>(SUM(C19:I19)+3*SUM(U19:V19) + SUM(L19:R19) + SUM(C37:I37) + SUM(L37:R37) +SUM(Z22:AF22) + 3*SUM(U34:W34)+ 5*SUM(Z32))/55</f>
        <v>0</v>
      </c>
    </row>
    <row r="3">
      <c r="A3" s="120"/>
      <c r="B3" s="8">
        <f>C5</f>
        <v>45103</v>
      </c>
      <c r="C3" s="70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21"/>
      <c r="T3" s="6"/>
      <c r="U3" s="7"/>
      <c r="V3" s="7"/>
      <c r="Y3" s="116"/>
      <c r="Z3" s="116"/>
      <c r="AA3" s="141" t="s">
        <v>51</v>
      </c>
      <c r="AB3" s="130">
        <f t="array" ref="AB3">COUNTIF(C7:I18,TRUE)+COUNTIF(L7:R18,TRUE)+COUNTIF(C25:I36,TRUE)+COUNTIF(L25:R36,TRUE)+COUNTIF(Z10:AF21,TRUE)+3*(COUNTIF(U9:V18,TRUE)+COUNTIF(U24:W33,TRUE))+5*(COUNTIF(Z27:Z31,TRUE))</f>
        <v>0</v>
      </c>
    </row>
    <row r="4" ht="6.75" customHeight="1">
      <c r="A4" s="120"/>
      <c r="B4" s="8"/>
      <c r="C4" s="70"/>
      <c r="D4" s="122"/>
      <c r="E4" s="122"/>
      <c r="F4" s="122"/>
      <c r="G4" s="122"/>
      <c r="H4" s="122"/>
      <c r="I4" s="123"/>
      <c r="J4" s="56"/>
      <c r="K4" s="123"/>
      <c r="L4" s="122"/>
      <c r="M4" s="122"/>
      <c r="N4" s="122"/>
      <c r="O4" s="122"/>
      <c r="P4" s="122"/>
      <c r="Q4" s="122"/>
      <c r="R4" s="123"/>
      <c r="S4" s="114"/>
      <c r="T4" s="6"/>
      <c r="U4" s="7"/>
      <c r="V4" s="7"/>
      <c r="Y4" s="116"/>
      <c r="Z4" s="117"/>
      <c r="AA4" s="141" t="s">
        <v>52</v>
      </c>
      <c r="AB4" s="131">
        <f>AB3 + March2023!X9</f>
        <v>895</v>
      </c>
    </row>
    <row r="5">
      <c r="A5" s="124"/>
      <c r="B5" s="96" t="s">
        <v>1</v>
      </c>
      <c r="C5" s="97">
        <f>June2023!R23+1</f>
        <v>45103</v>
      </c>
      <c r="D5" s="98">
        <f t="shared" ref="D5:I5" si="1">C5+1</f>
        <v>45104</v>
      </c>
      <c r="E5" s="98">
        <f t="shared" si="1"/>
        <v>45105</v>
      </c>
      <c r="F5" s="98">
        <f t="shared" si="1"/>
        <v>45106</v>
      </c>
      <c r="G5" s="98">
        <f t="shared" si="1"/>
        <v>45107</v>
      </c>
      <c r="H5" s="98">
        <f t="shared" si="1"/>
        <v>45108</v>
      </c>
      <c r="I5" s="125">
        <f t="shared" si="1"/>
        <v>45109</v>
      </c>
      <c r="J5" s="17"/>
      <c r="K5" s="126" t="s">
        <v>2</v>
      </c>
      <c r="L5" s="98">
        <f>I5+1</f>
        <v>45110</v>
      </c>
      <c r="M5" s="98">
        <f t="shared" ref="M5:R5" si="2">L5+1</f>
        <v>45111</v>
      </c>
      <c r="N5" s="98">
        <f t="shared" si="2"/>
        <v>45112</v>
      </c>
      <c r="O5" s="98">
        <f t="shared" si="2"/>
        <v>45113</v>
      </c>
      <c r="P5" s="98">
        <f t="shared" si="2"/>
        <v>45114</v>
      </c>
      <c r="Q5" s="98">
        <f t="shared" si="2"/>
        <v>45115</v>
      </c>
      <c r="R5" s="125">
        <f t="shared" si="2"/>
        <v>45116</v>
      </c>
    </row>
    <row r="6">
      <c r="A6" s="127"/>
      <c r="B6" s="100" t="s">
        <v>3</v>
      </c>
      <c r="C6" s="101" t="str">
        <f t="shared" ref="C6:I6" si="3">CHOOSE(WEEKDAY(C5,2),"Mon","Tue","Wed","Thu","Fri","Sat","Sun")</f>
        <v>Mon</v>
      </c>
      <c r="D6" s="101" t="str">
        <f t="shared" si="3"/>
        <v>Tue</v>
      </c>
      <c r="E6" s="101" t="str">
        <f t="shared" si="3"/>
        <v>Wed</v>
      </c>
      <c r="F6" s="101" t="str">
        <f t="shared" si="3"/>
        <v>Thu</v>
      </c>
      <c r="G6" s="101" t="str">
        <f t="shared" si="3"/>
        <v>Fri</v>
      </c>
      <c r="H6" s="101" t="str">
        <f t="shared" si="3"/>
        <v>Sat</v>
      </c>
      <c r="I6" s="102" t="str">
        <f t="shared" si="3"/>
        <v>Sun</v>
      </c>
      <c r="J6" s="21"/>
      <c r="K6" s="100" t="s">
        <v>3</v>
      </c>
      <c r="L6" s="101" t="str">
        <f t="shared" ref="L6:R6" si="4">CHOOSE(WEEKDAY(L5,2),"Mon","Tue","Wed","Thu","Fri","Sat","Sun")</f>
        <v>Mon</v>
      </c>
      <c r="M6" s="101" t="str">
        <f t="shared" si="4"/>
        <v>Tue</v>
      </c>
      <c r="N6" s="101" t="str">
        <f t="shared" si="4"/>
        <v>Wed</v>
      </c>
      <c r="O6" s="101" t="str">
        <f t="shared" si="4"/>
        <v>Thu</v>
      </c>
      <c r="P6" s="101" t="str">
        <f t="shared" si="4"/>
        <v>Fri</v>
      </c>
      <c r="Q6" s="101" t="str">
        <f t="shared" si="4"/>
        <v>Sat</v>
      </c>
      <c r="R6" s="102" t="str">
        <f t="shared" si="4"/>
        <v>Sun</v>
      </c>
    </row>
    <row r="7">
      <c r="A7" s="128"/>
      <c r="B7" s="79" t="s">
        <v>5</v>
      </c>
      <c r="C7" s="26" t="b">
        <v>0</v>
      </c>
      <c r="D7" s="26" t="b">
        <v>0</v>
      </c>
      <c r="E7" s="26" t="b">
        <v>0</v>
      </c>
      <c r="F7" s="28" t="b">
        <v>0</v>
      </c>
      <c r="G7" s="26" t="b">
        <v>0</v>
      </c>
      <c r="H7" s="26" t="b">
        <v>0</v>
      </c>
      <c r="I7" s="32" t="b">
        <v>0</v>
      </c>
      <c r="J7" s="30"/>
      <c r="K7" s="81" t="str">
        <f t="shared" ref="K7:K18" si="5">B7</f>
        <v>Exercise</v>
      </c>
      <c r="L7" s="26" t="b">
        <v>0</v>
      </c>
      <c r="M7" s="26" t="b">
        <v>0</v>
      </c>
      <c r="N7" s="26" t="b">
        <v>0</v>
      </c>
      <c r="O7" s="26" t="b">
        <v>0</v>
      </c>
      <c r="P7" s="26" t="b">
        <v>0</v>
      </c>
      <c r="Q7" s="26" t="b">
        <v>0</v>
      </c>
      <c r="R7" s="32" t="b">
        <v>0</v>
      </c>
    </row>
    <row r="8">
      <c r="A8" s="128"/>
      <c r="B8" s="79" t="s">
        <v>7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32" t="b">
        <v>0</v>
      </c>
      <c r="J8" s="30"/>
      <c r="K8" s="81" t="str">
        <f t="shared" si="5"/>
        <v>Stretch/Yoga (&gt;20min)</v>
      </c>
      <c r="L8" s="26" t="b">
        <v>0</v>
      </c>
      <c r="M8" s="26" t="b">
        <v>0</v>
      </c>
      <c r="N8" s="26" t="b">
        <v>0</v>
      </c>
      <c r="O8" s="26" t="b">
        <v>0</v>
      </c>
      <c r="P8" s="26" t="b">
        <v>0</v>
      </c>
      <c r="Q8" s="26" t="b">
        <v>0</v>
      </c>
      <c r="R8" s="32" t="b">
        <v>0</v>
      </c>
      <c r="T8" s="105" t="s">
        <v>4</v>
      </c>
      <c r="U8" s="23" t="s">
        <v>1</v>
      </c>
      <c r="V8" s="24" t="s">
        <v>2</v>
      </c>
      <c r="Y8" s="142" t="s">
        <v>53</v>
      </c>
      <c r="Z8" s="108">
        <f>R23+1</f>
        <v>45131</v>
      </c>
      <c r="AA8" s="108">
        <f t="shared" ref="AA8:AF8" si="6">Z8+1</f>
        <v>45132</v>
      </c>
      <c r="AB8" s="108">
        <f t="shared" si="6"/>
        <v>45133</v>
      </c>
      <c r="AC8" s="108">
        <f t="shared" si="6"/>
        <v>45134</v>
      </c>
      <c r="AD8" s="108">
        <f t="shared" si="6"/>
        <v>45135</v>
      </c>
      <c r="AE8" s="108">
        <f t="shared" si="6"/>
        <v>45136</v>
      </c>
      <c r="AF8" s="111">
        <f t="shared" si="6"/>
        <v>45137</v>
      </c>
    </row>
    <row r="9">
      <c r="A9" s="128"/>
      <c r="B9" s="79" t="s">
        <v>39</v>
      </c>
      <c r="C9" s="26" t="b">
        <v>0</v>
      </c>
      <c r="D9" s="26" t="b">
        <v>0</v>
      </c>
      <c r="E9" s="26" t="b">
        <v>0</v>
      </c>
      <c r="F9" s="28" t="b">
        <v>0</v>
      </c>
      <c r="G9" s="26" t="b">
        <v>0</v>
      </c>
      <c r="H9" s="26" t="b">
        <v>0</v>
      </c>
      <c r="I9" s="32" t="b">
        <v>0</v>
      </c>
      <c r="J9" s="30"/>
      <c r="K9" s="81" t="str">
        <f t="shared" si="5"/>
        <v>Social Media (&lt;limit)</v>
      </c>
      <c r="L9" s="26" t="b">
        <v>0</v>
      </c>
      <c r="M9" s="26" t="b">
        <v>0</v>
      </c>
      <c r="N9" s="26" t="b">
        <v>0</v>
      </c>
      <c r="O9" s="26" t="b">
        <v>0</v>
      </c>
      <c r="P9" s="26" t="b">
        <v>0</v>
      </c>
      <c r="Q9" s="26" t="b">
        <v>0</v>
      </c>
      <c r="R9" s="32" t="b">
        <v>0</v>
      </c>
      <c r="T9" s="82" t="s">
        <v>6</v>
      </c>
      <c r="U9" s="26" t="b">
        <v>0</v>
      </c>
      <c r="V9" s="32" t="b">
        <v>0</v>
      </c>
      <c r="Y9" s="140" t="s">
        <v>3</v>
      </c>
      <c r="Z9" s="101" t="str">
        <f t="shared" ref="Z9:AF9" si="7">CHOOSE(WEEKDAY(Z8,2),"Mon","Tue","Wed","Thu","Fri","Sat","Sun")</f>
        <v>Mon</v>
      </c>
      <c r="AA9" s="101" t="str">
        <f t="shared" si="7"/>
        <v>Tue</v>
      </c>
      <c r="AB9" s="101" t="str">
        <f t="shared" si="7"/>
        <v>Wed</v>
      </c>
      <c r="AC9" s="101" t="str">
        <f t="shared" si="7"/>
        <v>Thu</v>
      </c>
      <c r="AD9" s="101" t="str">
        <f t="shared" si="7"/>
        <v>Fri</v>
      </c>
      <c r="AE9" s="101" t="str">
        <f t="shared" si="7"/>
        <v>Sat</v>
      </c>
      <c r="AF9" s="102" t="str">
        <f t="shared" si="7"/>
        <v>Sun</v>
      </c>
      <c r="AG9" s="127"/>
    </row>
    <row r="10">
      <c r="A10" s="128"/>
      <c r="B10" s="79" t="s">
        <v>11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32" t="b">
        <v>0</v>
      </c>
      <c r="J10" s="30"/>
      <c r="K10" s="81" t="str">
        <f t="shared" si="5"/>
        <v>Eat in</v>
      </c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32" t="b">
        <v>0</v>
      </c>
      <c r="T10" s="82" t="s">
        <v>8</v>
      </c>
      <c r="U10" s="26" t="b">
        <v>0</v>
      </c>
      <c r="V10" s="32" t="b">
        <v>0</v>
      </c>
      <c r="Y10" s="81" t="str">
        <f t="shared" ref="Y10:Y20" si="8">K7</f>
        <v>Exercise</v>
      </c>
      <c r="Z10" s="26" t="b">
        <v>0</v>
      </c>
      <c r="AA10" s="26" t="b">
        <v>0</v>
      </c>
      <c r="AB10" s="26" t="b">
        <v>0</v>
      </c>
      <c r="AC10" s="26" t="b">
        <v>0</v>
      </c>
      <c r="AD10" s="26" t="b">
        <v>0</v>
      </c>
      <c r="AE10" s="26" t="b">
        <v>0</v>
      </c>
      <c r="AF10" s="29" t="b">
        <v>0</v>
      </c>
      <c r="AG10" s="133"/>
    </row>
    <row r="11">
      <c r="A11" s="132"/>
      <c r="B11" s="95" t="s">
        <v>13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32" t="b">
        <v>0</v>
      </c>
      <c r="J11" s="30"/>
      <c r="K11" s="81" t="str">
        <f t="shared" si="5"/>
        <v>Review Budget/Goals</v>
      </c>
      <c r="L11" s="26" t="b">
        <v>0</v>
      </c>
      <c r="M11" s="26" t="b">
        <v>0</v>
      </c>
      <c r="N11" s="26" t="b">
        <v>0</v>
      </c>
      <c r="O11" s="26" t="b">
        <v>0</v>
      </c>
      <c r="P11" s="26" t="b">
        <v>0</v>
      </c>
      <c r="Q11" s="26" t="b">
        <v>0</v>
      </c>
      <c r="R11" s="32" t="b">
        <v>0</v>
      </c>
      <c r="T11" s="82" t="s">
        <v>10</v>
      </c>
      <c r="U11" s="26" t="b">
        <v>0</v>
      </c>
      <c r="V11" s="32" t="b">
        <v>0</v>
      </c>
      <c r="Y11" s="81" t="str">
        <f t="shared" si="8"/>
        <v>Stretch/Yoga (&gt;20min)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29" t="b">
        <v>0</v>
      </c>
      <c r="AG11" s="133"/>
    </row>
    <row r="12">
      <c r="A12" s="127"/>
      <c r="B12" s="82" t="s">
        <v>37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32" t="b">
        <v>0</v>
      </c>
      <c r="J12" s="30"/>
      <c r="K12" s="81" t="str">
        <f t="shared" si="5"/>
        <v>(2x)Brush+(1x)Floss</v>
      </c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32" t="b">
        <v>0</v>
      </c>
      <c r="T12" s="82" t="s">
        <v>12</v>
      </c>
      <c r="U12" s="26" t="b">
        <v>0</v>
      </c>
      <c r="V12" s="32" t="b">
        <v>0</v>
      </c>
      <c r="Y12" s="81" t="str">
        <f t="shared" si="8"/>
        <v>Social Media (&lt;limit)</v>
      </c>
      <c r="Z12" s="26" t="b">
        <v>0</v>
      </c>
      <c r="AA12" s="26" t="b">
        <v>0</v>
      </c>
      <c r="AB12" s="26" t="b">
        <v>0</v>
      </c>
      <c r="AC12" s="26" t="b">
        <v>0</v>
      </c>
      <c r="AD12" s="26" t="b">
        <v>0</v>
      </c>
      <c r="AE12" s="26" t="b">
        <v>0</v>
      </c>
      <c r="AF12" s="32" t="b">
        <v>0</v>
      </c>
      <c r="AG12" s="133"/>
    </row>
    <row r="13">
      <c r="A13" s="128"/>
      <c r="B13" s="79" t="s">
        <v>49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32" t="b">
        <v>0</v>
      </c>
      <c r="J13" s="30"/>
      <c r="K13" s="81" t="str">
        <f t="shared" si="5"/>
        <v>Water (3L)</v>
      </c>
      <c r="L13" s="26" t="b">
        <v>0</v>
      </c>
      <c r="M13" s="26" t="b">
        <v>0</v>
      </c>
      <c r="N13" s="26" t="b">
        <v>0</v>
      </c>
      <c r="O13" s="26" t="b">
        <v>0</v>
      </c>
      <c r="P13" s="26" t="b">
        <v>0</v>
      </c>
      <c r="Q13" s="26" t="b">
        <v>0</v>
      </c>
      <c r="R13" s="32" t="b">
        <v>0</v>
      </c>
      <c r="T13" s="82" t="s">
        <v>14</v>
      </c>
      <c r="U13" s="26" t="b">
        <v>0</v>
      </c>
      <c r="V13" s="32" t="b">
        <v>0</v>
      </c>
      <c r="Y13" s="81" t="str">
        <f t="shared" si="8"/>
        <v>Eat in</v>
      </c>
      <c r="Z13" s="26" t="b">
        <v>0</v>
      </c>
      <c r="AA13" s="26" t="b">
        <v>0</v>
      </c>
      <c r="AB13" s="26" t="b">
        <v>0</v>
      </c>
      <c r="AC13" s="26" t="b">
        <v>0</v>
      </c>
      <c r="AD13" s="26" t="b">
        <v>0</v>
      </c>
      <c r="AE13" s="26" t="b">
        <v>0</v>
      </c>
      <c r="AF13" s="32" t="b">
        <v>0</v>
      </c>
      <c r="AG13" s="133"/>
    </row>
    <row r="14">
      <c r="A14" s="128"/>
      <c r="B14" s="79" t="s">
        <v>19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32" t="b">
        <v>0</v>
      </c>
      <c r="J14" s="30"/>
      <c r="K14" s="81" t="str">
        <f t="shared" si="5"/>
        <v>7 hours sleep</v>
      </c>
      <c r="L14" s="26" t="b">
        <v>0</v>
      </c>
      <c r="M14" s="26" t="b">
        <v>0</v>
      </c>
      <c r="N14" s="26" t="b">
        <v>0</v>
      </c>
      <c r="O14" s="26" t="b">
        <v>0</v>
      </c>
      <c r="P14" s="26" t="b">
        <v>0</v>
      </c>
      <c r="Q14" s="26" t="b">
        <v>0</v>
      </c>
      <c r="R14" s="32" t="b">
        <v>0</v>
      </c>
      <c r="T14" s="82" t="s">
        <v>16</v>
      </c>
      <c r="U14" s="26" t="b">
        <v>0</v>
      </c>
      <c r="V14" s="32" t="b">
        <v>0</v>
      </c>
      <c r="Y14" s="95" t="str">
        <f t="shared" si="8"/>
        <v>Review Budget/Goals</v>
      </c>
      <c r="Z14" s="26" t="b">
        <v>0</v>
      </c>
      <c r="AA14" s="26" t="b">
        <v>0</v>
      </c>
      <c r="AB14" s="26" t="b">
        <v>0</v>
      </c>
      <c r="AC14" s="26" t="b">
        <v>0</v>
      </c>
      <c r="AD14" s="26" t="b">
        <v>0</v>
      </c>
      <c r="AE14" s="26" t="b">
        <v>0</v>
      </c>
      <c r="AF14" s="32" t="b">
        <v>0</v>
      </c>
      <c r="AG14" s="133"/>
    </row>
    <row r="15">
      <c r="A15" s="128"/>
      <c r="B15" s="79" t="s">
        <v>21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32" t="b">
        <v>0</v>
      </c>
      <c r="J15" s="30"/>
      <c r="K15" s="81" t="str">
        <f t="shared" si="5"/>
        <v>Clean (~20 min)</v>
      </c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0</v>
      </c>
      <c r="Q15" s="26" t="b">
        <v>0</v>
      </c>
      <c r="R15" s="32" t="b">
        <v>0</v>
      </c>
      <c r="T15" s="82" t="s">
        <v>18</v>
      </c>
      <c r="U15" s="26" t="b">
        <v>0</v>
      </c>
      <c r="V15" s="32" t="b">
        <v>0</v>
      </c>
      <c r="Y15" s="81" t="str">
        <f t="shared" si="8"/>
        <v>(2x)Brush+(1x)Floss</v>
      </c>
      <c r="Z15" s="26" t="b">
        <v>0</v>
      </c>
      <c r="AA15" s="26" t="b">
        <v>0</v>
      </c>
      <c r="AB15" s="26" t="b">
        <v>0</v>
      </c>
      <c r="AC15" s="26" t="b">
        <v>0</v>
      </c>
      <c r="AD15" s="26" t="b">
        <v>0</v>
      </c>
      <c r="AE15" s="26" t="b">
        <v>0</v>
      </c>
      <c r="AF15" s="32" t="b">
        <v>0</v>
      </c>
      <c r="AG15" s="133"/>
    </row>
    <row r="16">
      <c r="A16" s="128"/>
      <c r="B16" s="79" t="s">
        <v>23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32" t="b">
        <v>0</v>
      </c>
      <c r="J16" s="30"/>
      <c r="K16" s="81" t="str">
        <f t="shared" si="5"/>
        <v>Read (~20 min)</v>
      </c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32" t="b">
        <v>0</v>
      </c>
      <c r="T16" s="82" t="s">
        <v>20</v>
      </c>
      <c r="U16" s="26" t="b">
        <v>0</v>
      </c>
      <c r="V16" s="32" t="b">
        <v>0</v>
      </c>
      <c r="Y16" s="81" t="str">
        <f t="shared" si="8"/>
        <v>Water (3L)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9" t="b">
        <v>0</v>
      </c>
      <c r="AG16" s="133"/>
    </row>
    <row r="17">
      <c r="A17" s="133"/>
      <c r="B17" s="81" t="s">
        <v>26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32" t="b">
        <v>0</v>
      </c>
      <c r="J17" s="30"/>
      <c r="K17" s="81" t="str">
        <f t="shared" si="5"/>
        <v>Vitamins</v>
      </c>
      <c r="L17" s="26" t="b">
        <v>0</v>
      </c>
      <c r="M17" s="26" t="b">
        <v>0</v>
      </c>
      <c r="N17" s="26" t="b">
        <v>0</v>
      </c>
      <c r="O17" s="26" t="b">
        <v>0</v>
      </c>
      <c r="P17" s="26" t="b">
        <v>0</v>
      </c>
      <c r="Q17" s="26" t="b">
        <v>0</v>
      </c>
      <c r="R17" s="32" t="b">
        <v>0</v>
      </c>
      <c r="T17" s="82" t="s">
        <v>22</v>
      </c>
      <c r="U17" s="26" t="b">
        <v>0</v>
      </c>
      <c r="V17" s="32" t="b">
        <v>0</v>
      </c>
      <c r="Y17" s="81" t="str">
        <f t="shared" si="8"/>
        <v>7 hours sleep</v>
      </c>
      <c r="Z17" s="26" t="b">
        <v>0</v>
      </c>
      <c r="AA17" s="26" t="b">
        <v>0</v>
      </c>
      <c r="AB17" s="26" t="b">
        <v>0</v>
      </c>
      <c r="AC17" s="26" t="b">
        <v>0</v>
      </c>
      <c r="AD17" s="26" t="b">
        <v>0</v>
      </c>
      <c r="AE17" s="26" t="b">
        <v>0</v>
      </c>
      <c r="AF17" s="32" t="b">
        <v>0</v>
      </c>
      <c r="AG17" s="133"/>
    </row>
    <row r="18">
      <c r="A18" s="133"/>
      <c r="B18" s="86" t="s">
        <v>46</v>
      </c>
      <c r="C18" s="38" t="b">
        <v>0</v>
      </c>
      <c r="D18" s="38" t="b">
        <v>0</v>
      </c>
      <c r="E18" s="38" t="b">
        <v>0</v>
      </c>
      <c r="F18" s="38" t="b">
        <v>0</v>
      </c>
      <c r="G18" s="38" t="b">
        <v>0</v>
      </c>
      <c r="H18" s="38" t="b">
        <v>0</v>
      </c>
      <c r="I18" s="39" t="b">
        <v>0</v>
      </c>
      <c r="J18" s="30"/>
      <c r="K18" s="81" t="str">
        <f t="shared" si="5"/>
        <v>Duolingo</v>
      </c>
      <c r="L18" s="26" t="b">
        <v>0</v>
      </c>
      <c r="M18" s="26" t="b">
        <v>0</v>
      </c>
      <c r="N18" s="26" t="b">
        <v>0</v>
      </c>
      <c r="O18" s="26" t="b">
        <v>0</v>
      </c>
      <c r="P18" s="26" t="b">
        <v>0</v>
      </c>
      <c r="Q18" s="26" t="b">
        <v>0</v>
      </c>
      <c r="R18" s="32" t="b">
        <v>0</v>
      </c>
      <c r="T18" s="85" t="s">
        <v>24</v>
      </c>
      <c r="U18" s="38" t="b">
        <v>0</v>
      </c>
      <c r="V18" s="39" t="b">
        <v>0</v>
      </c>
      <c r="Y18" s="81" t="str">
        <f t="shared" si="8"/>
        <v>Clean (~20 min)</v>
      </c>
      <c r="Z18" s="26" t="b">
        <v>0</v>
      </c>
      <c r="AA18" s="26" t="b">
        <v>0</v>
      </c>
      <c r="AB18" s="26" t="b">
        <v>0</v>
      </c>
      <c r="AC18" s="26" t="b">
        <v>0</v>
      </c>
      <c r="AD18" s="26" t="b">
        <v>0</v>
      </c>
      <c r="AE18" s="26" t="b">
        <v>0</v>
      </c>
      <c r="AF18" s="32" t="b">
        <v>0</v>
      </c>
      <c r="AG18" s="133"/>
    </row>
    <row r="19">
      <c r="A19" s="127"/>
      <c r="B19" s="88" t="s">
        <v>27</v>
      </c>
      <c r="C19" s="44">
        <f t="shared" ref="C19:I19" si="9">COUNTIF(C7:C18,True)/COUNTA(C7:C18)</f>
        <v>0</v>
      </c>
      <c r="D19" s="44">
        <f t="shared" si="9"/>
        <v>0</v>
      </c>
      <c r="E19" s="44">
        <f t="shared" si="9"/>
        <v>0</v>
      </c>
      <c r="F19" s="44">
        <f t="shared" si="9"/>
        <v>0</v>
      </c>
      <c r="G19" s="44">
        <f t="shared" si="9"/>
        <v>0</v>
      </c>
      <c r="H19" s="44">
        <f t="shared" si="9"/>
        <v>0</v>
      </c>
      <c r="I19" s="45">
        <f t="shared" si="9"/>
        <v>0</v>
      </c>
      <c r="J19" s="21"/>
      <c r="K19" s="134" t="s">
        <v>27</v>
      </c>
      <c r="L19" s="135">
        <f t="shared" ref="L19:R19" si="10">COUNTIF(L7:L18,True)/COUNTA(L7:L18)</f>
        <v>0</v>
      </c>
      <c r="M19" s="135">
        <f t="shared" si="10"/>
        <v>0</v>
      </c>
      <c r="N19" s="135">
        <f t="shared" si="10"/>
        <v>0</v>
      </c>
      <c r="O19" s="135">
        <f t="shared" si="10"/>
        <v>0</v>
      </c>
      <c r="P19" s="135">
        <f t="shared" si="10"/>
        <v>0</v>
      </c>
      <c r="Q19" s="135">
        <f t="shared" si="10"/>
        <v>0</v>
      </c>
      <c r="R19" s="135">
        <f t="shared" si="10"/>
        <v>0</v>
      </c>
      <c r="T19" s="88" t="s">
        <v>27</v>
      </c>
      <c r="U19" s="44">
        <f t="shared" ref="U19:V19" si="11">COUNTIF(U9:U18,True)/COUNTA(U9:U18)</f>
        <v>0</v>
      </c>
      <c r="V19" s="45">
        <f t="shared" si="11"/>
        <v>0</v>
      </c>
      <c r="Y19" s="81" t="str">
        <f t="shared" si="8"/>
        <v>Read (~20 min)</v>
      </c>
      <c r="Z19" s="26" t="b">
        <v>0</v>
      </c>
      <c r="AA19" s="26" t="b">
        <v>0</v>
      </c>
      <c r="AB19" s="26" t="b">
        <v>0</v>
      </c>
      <c r="AC19" s="26" t="b">
        <v>0</v>
      </c>
      <c r="AD19" s="26" t="b">
        <v>0</v>
      </c>
      <c r="AE19" s="26" t="b">
        <v>0</v>
      </c>
      <c r="AF19" s="29" t="b">
        <v>0</v>
      </c>
      <c r="AG19" s="133"/>
    </row>
    <row r="20">
      <c r="A20" s="127"/>
      <c r="B20" s="91" t="s">
        <v>29</v>
      </c>
      <c r="C20" s="49" t="str">
        <f>IFERROR(__xludf.DUMMYFUNCTION("SPARKLINE(C19,{""charttype"",""bar"";""max"",1;""min"",0;""color1"",IF(C19&gt;0.7,""green"",IF(C19&gt;0.5,""yellow"",""red""))})"),"")</f>
        <v/>
      </c>
      <c r="D20" s="49" t="str">
        <f>IFERROR(__xludf.DUMMYFUNCTION("SPARKLINE(D19,{""charttype"",""bar"";""max"",1;""min"",0;""color1"",IF(D19&gt;0.7,""green"",IF(D19&gt;0.5,""yellow"",""red""))})"),"")</f>
        <v/>
      </c>
      <c r="E20" s="49" t="str">
        <f>IFERROR(__xludf.DUMMYFUNCTION("SPARKLINE(E19,{""charttype"",""bar"";""max"",1;""min"",0;""color1"",IF(E19&gt;0.7,""green"",IF(E19&gt;0.5,""yellow"",""red""))})"),"")</f>
        <v/>
      </c>
      <c r="F20" s="49" t="str">
        <f>IFERROR(__xludf.DUMMYFUNCTION("SPARKLINE(F19,{""charttype"",""bar"";""max"",1;""min"",0;""color1"",IF(F19&gt;0.7,""green"",IF(F19&gt;0.5,""yellow"",""red""))})"),"")</f>
        <v/>
      </c>
      <c r="G20" s="49" t="str">
        <f>IFERROR(__xludf.DUMMYFUNCTION("SPARKLINE(G19,{""charttype"",""bar"";""max"",1;""min"",0;""color1"",IF(G19&gt;0.7,""green"",IF(G19&gt;0.5,""yellow"",""red""))})"),"")</f>
        <v/>
      </c>
      <c r="H20" s="49" t="str">
        <f>IFERROR(__xludf.DUMMYFUNCTION("SPARKLINE(H19,{""charttype"",""bar"";""max"",1;""min"",0;""color1"",IF(H19&gt;0.7,""green"",IF(H19&gt;0.5,""yellow"",""red""))})"),"")</f>
        <v/>
      </c>
      <c r="I20" s="50" t="str">
        <f>IFERROR(__xludf.DUMMYFUNCTION("SPARKLINE(I19,{""charttype"",""bar"";""max"",1;""min"",0;""color1"",IF(I19&gt;0.7,""green"",IF(I19&gt;0.5,""yellow"",""red""))})"),"")</f>
        <v/>
      </c>
      <c r="J20" s="52"/>
      <c r="K20" s="90" t="s">
        <v>29</v>
      </c>
      <c r="L20" s="49" t="str">
        <f>IFERROR(__xludf.DUMMYFUNCTION("SPARKLINE(L19,{""charttype"",""bar"";""max"",1;""min"",0;""color1"",IF(L19&gt;0.7,""green"",IF(L19&gt;0.5,""yellow"",""red""))})"),"")</f>
        <v/>
      </c>
      <c r="M20" s="49" t="str">
        <f>IFERROR(__xludf.DUMMYFUNCTION("SPARKLINE(M19,{""charttype"",""bar"";""max"",1;""min"",0;""color1"",IF(M19&gt;0.7,""green"",IF(M19&gt;0.5,""yellow"",""red""))})"),"")</f>
        <v/>
      </c>
      <c r="N20" s="49" t="str">
        <f>IFERROR(__xludf.DUMMYFUNCTION("SPARKLINE(N19,{""charttype"",""bar"";""max"",1;""min"",0;""color1"",IF(N19&gt;0.7,""green"",IF(N19&gt;0.5,""yellow"",""red""))})"),"")</f>
        <v/>
      </c>
      <c r="O20" s="49" t="str">
        <f>IFERROR(__xludf.DUMMYFUNCTION("SPARKLINE(O19,{""charttype"",""bar"";""max"",1;""min"",0;""color1"",IF(O19&gt;0.7,""green"",IF(O19&gt;0.5,""yellow"",""red""))})"),"")</f>
        <v/>
      </c>
      <c r="P20" s="49" t="str">
        <f>IFERROR(__xludf.DUMMYFUNCTION("SPARKLINE(P19,{""charttype"",""bar"";""max"",1;""min"",0;""color1"",IF(P19&gt;0.7,""green"",IF(P19&gt;0.5,""yellow"",""red""))})"),"")</f>
        <v/>
      </c>
      <c r="Q20" s="49" t="str">
        <f>IFERROR(__xludf.DUMMYFUNCTION("SPARKLINE(Q19,{""charttype"",""bar"";""max"",1;""min"",0;""color1"",IF(Q19&gt;0.7,""green"",IF(Q19&gt;0.5,""yellow"",""red""))})"),"")</f>
        <v/>
      </c>
      <c r="R20" s="50" t="str">
        <f>IFERROR(__xludf.DUMMYFUNCTION("SPARKLINE(R19,{""charttype"",""bar"";""max"",1;""min"",0;""color1"",IF(R19&gt;0.7,""green"",IF(R19&gt;0.5,""yellow"",""red""))})"),"")</f>
        <v/>
      </c>
      <c r="T20" s="88"/>
      <c r="U20" s="44" t="str">
        <f>IFERROR(__xludf.DUMMYFUNCTION("SPARKLINE(U19,{""charttype"",""bar"";""max"",1;""min"",0;""color1"",IF(U19&gt;0.7,""green"",IF(U19&gt;0.5,""yellow"",""red""))})"),"")</f>
        <v/>
      </c>
      <c r="V20" s="45" t="str">
        <f>IFERROR(__xludf.DUMMYFUNCTION("SPARKLINE(V19,{""charttype"",""bar"";""max"",1;""min"",0;""color1"",IF(V19&gt;0.7,""green"",IF(V19&gt;0.5,""yellow"",""red""))})"),"")</f>
        <v/>
      </c>
      <c r="Y20" s="81" t="str">
        <f t="shared" si="8"/>
        <v>Vitamins</v>
      </c>
      <c r="Z20" s="26" t="b">
        <v>0</v>
      </c>
      <c r="AA20" s="26" t="b">
        <v>0</v>
      </c>
      <c r="AB20" s="26" t="b">
        <v>0</v>
      </c>
      <c r="AC20" s="26" t="b">
        <v>0</v>
      </c>
      <c r="AD20" s="26" t="b">
        <v>0</v>
      </c>
      <c r="AE20" s="26" t="b">
        <v>0</v>
      </c>
      <c r="AF20" s="32" t="b">
        <v>0</v>
      </c>
      <c r="AG20" s="143"/>
    </row>
    <row r="21">
      <c r="A21" s="70"/>
      <c r="B21" s="136" t="s">
        <v>48</v>
      </c>
      <c r="C21" s="53" t="str">
        <f>IFERROR(__xludf.DUMMYFUNCTION("SPARKLINE((SUM(C19:I19)+3*U19)/10,{""charttype"",""bar"";""max"",1;""min"",0;""color1"",IF((SUM(C19:I19)+3*U19)/10&gt;0.7,""green"",IF((SUM(C19:I19)+3*U19)/10&gt;0.5,""yellow"",""red""))})"),"")</f>
        <v/>
      </c>
      <c r="D21" s="54"/>
      <c r="E21" s="54"/>
      <c r="F21" s="54"/>
      <c r="G21" s="54"/>
      <c r="H21" s="54"/>
      <c r="I21" s="41"/>
      <c r="J21" s="55"/>
      <c r="K21" s="90" t="s">
        <v>48</v>
      </c>
      <c r="L21" s="53" t="str">
        <f>IFERROR(__xludf.DUMMYFUNCTION("SPARKLINE((SUM(L19:R19)+3*V19)/10,{""charttype"",""bar"";""max"",1;""min"",0;""color1"",IF((SUM(L19:R19)+3*V19)/10&gt;0.7,""green"",IF((SUM(L19:R19)+3*V19)/10&gt;0.5,""yellow"",""red""))})"),"")</f>
        <v/>
      </c>
      <c r="M21" s="54"/>
      <c r="N21" s="54"/>
      <c r="O21" s="54"/>
      <c r="P21" s="54"/>
      <c r="Q21" s="54"/>
      <c r="R21" s="41"/>
      <c r="T21" s="90" t="s">
        <v>29</v>
      </c>
      <c r="U21" s="49" t="str">
        <f>IFERROR(__xludf.DUMMYFUNCTION("SPARKLINE((U19+V19)/2,{""charttype"",""bar"";""max"",1;""min"",0;""color1"",IF((U19+V19)/2&gt;0.7,""green"",IF((U19+V19)/2&gt;0.5,""yellow"",""red""))})"),"")</f>
        <v/>
      </c>
      <c r="V21" s="41"/>
      <c r="Y21" s="81" t="str">
        <f>K36</f>
        <v>Duolingo</v>
      </c>
      <c r="Z21" s="26" t="b">
        <v>0</v>
      </c>
      <c r="AA21" s="26" t="b">
        <v>0</v>
      </c>
      <c r="AB21" s="26" t="b">
        <v>0</v>
      </c>
      <c r="AC21" s="26" t="b">
        <v>0</v>
      </c>
      <c r="AD21" s="26" t="b">
        <v>0</v>
      </c>
      <c r="AE21" s="26" t="b">
        <v>0</v>
      </c>
      <c r="AF21" s="29" t="b">
        <v>0</v>
      </c>
      <c r="AG21" s="143"/>
    </row>
    <row r="22">
      <c r="A22" s="70"/>
      <c r="B22" s="137"/>
      <c r="C22" s="138"/>
      <c r="D22" s="138"/>
      <c r="E22" s="138"/>
      <c r="F22" s="138"/>
      <c r="G22" s="138"/>
      <c r="H22" s="138"/>
      <c r="I22" s="138"/>
      <c r="J22" s="55"/>
      <c r="K22" s="59"/>
      <c r="L22" s="138"/>
      <c r="M22" s="138"/>
      <c r="N22" s="138"/>
      <c r="O22" s="138"/>
      <c r="P22" s="138"/>
      <c r="Q22" s="138"/>
      <c r="R22" s="138"/>
      <c r="S22" s="56"/>
      <c r="T22" s="56"/>
      <c r="U22" s="56"/>
      <c r="V22" s="56"/>
      <c r="W22" s="56"/>
      <c r="X22" s="56"/>
      <c r="Y22" s="134" t="s">
        <v>27</v>
      </c>
      <c r="Z22" s="135">
        <f t="shared" ref="Z22:AF22" si="12">COUNTIF(Z10:Z21,True)/COUNTA(Z10:Z21)</f>
        <v>0</v>
      </c>
      <c r="AA22" s="135">
        <f t="shared" si="12"/>
        <v>0</v>
      </c>
      <c r="AB22" s="135">
        <f t="shared" si="12"/>
        <v>0</v>
      </c>
      <c r="AC22" s="135">
        <f t="shared" si="12"/>
        <v>0</v>
      </c>
      <c r="AD22" s="135">
        <f t="shared" si="12"/>
        <v>0</v>
      </c>
      <c r="AE22" s="135">
        <f t="shared" si="12"/>
        <v>0</v>
      </c>
      <c r="AF22" s="135">
        <f t="shared" si="12"/>
        <v>0</v>
      </c>
      <c r="AG22" s="71"/>
    </row>
    <row r="23">
      <c r="A23" s="127"/>
      <c r="B23" s="139" t="s">
        <v>35</v>
      </c>
      <c r="C23" s="97">
        <f>R5+1</f>
        <v>45117</v>
      </c>
      <c r="D23" s="108">
        <f t="shared" ref="D23:I23" si="13">C23+1</f>
        <v>45118</v>
      </c>
      <c r="E23" s="108">
        <f t="shared" si="13"/>
        <v>45119</v>
      </c>
      <c r="F23" s="108">
        <f t="shared" si="13"/>
        <v>45120</v>
      </c>
      <c r="G23" s="108">
        <f t="shared" si="13"/>
        <v>45121</v>
      </c>
      <c r="H23" s="108">
        <f t="shared" si="13"/>
        <v>45122</v>
      </c>
      <c r="I23" s="111">
        <f t="shared" si="13"/>
        <v>45123</v>
      </c>
      <c r="J23" s="52"/>
      <c r="K23" s="110" t="s">
        <v>36</v>
      </c>
      <c r="L23" s="108">
        <f>I23+1</f>
        <v>45124</v>
      </c>
      <c r="M23" s="108">
        <f t="shared" ref="M23:R23" si="14">L23+1</f>
        <v>45125</v>
      </c>
      <c r="N23" s="108">
        <f t="shared" si="14"/>
        <v>45126</v>
      </c>
      <c r="O23" s="108">
        <f t="shared" si="14"/>
        <v>45127</v>
      </c>
      <c r="P23" s="108">
        <f t="shared" si="14"/>
        <v>45128</v>
      </c>
      <c r="Q23" s="108">
        <f t="shared" si="14"/>
        <v>45129</v>
      </c>
      <c r="R23" s="111">
        <f t="shared" si="14"/>
        <v>45130</v>
      </c>
      <c r="T23" s="105" t="s">
        <v>4</v>
      </c>
      <c r="U23" s="23" t="s">
        <v>35</v>
      </c>
      <c r="V23" s="23" t="s">
        <v>36</v>
      </c>
      <c r="W23" s="24" t="s">
        <v>54</v>
      </c>
      <c r="Y23" s="90" t="s">
        <v>29</v>
      </c>
      <c r="Z23" s="49" t="str">
        <f>IFERROR(__xludf.DUMMYFUNCTION("SPARKLINE(Z22,{""charttype"",""bar"";""max"",1;""min"",0;""color1"",IF(Z22&gt;0.7,""green"",IF(Z22&gt;0.5,""yellow"",""red""))})"),"")</f>
        <v/>
      </c>
      <c r="AA23" s="49" t="str">
        <f>IFERROR(__xludf.DUMMYFUNCTION("SPARKLINE(AA22,{""charttype"",""bar"";""max"",1;""min"",0;""color1"",IF(AA22&gt;0.7,""green"",IF(AA22&gt;0.5,""yellow"",""red""))})"),"")</f>
        <v/>
      </c>
      <c r="AB23" s="49" t="str">
        <f>IFERROR(__xludf.DUMMYFUNCTION("SPARKLINE(AB22,{""charttype"",""bar"";""max"",1;""min"",0;""color1"",IF(AB22&gt;0.7,""green"",IF(AB22&gt;0.5,""yellow"",""red""))})"),"")</f>
        <v/>
      </c>
      <c r="AC23" s="49" t="str">
        <f>IFERROR(__xludf.DUMMYFUNCTION("SPARKLINE(AC22,{""charttype"",""bar"";""max"",1;""min"",0;""color1"",IF(AC22&gt;0.7,""green"",IF(AC22&gt;0.5,""yellow"",""red""))})"),"")</f>
        <v/>
      </c>
      <c r="AD23" s="49" t="str">
        <f>IFERROR(__xludf.DUMMYFUNCTION("SPARKLINE(AD22,{""charttype"",""bar"";""max"",1;""min"",0;""color1"",IF(AD22&gt;0.7,""green"",IF(AD22&gt;0.5,""yellow"",""red""))})"),"")</f>
        <v/>
      </c>
      <c r="AE23" s="49" t="str">
        <f>IFERROR(__xludf.DUMMYFUNCTION("SPARKLINE(AE22,{""charttype"",""bar"";""max"",1;""min"",0;""color1"",IF(AE22&gt;0.7,""green"",IF(AE22&gt;0.5,""yellow"",""red""))})"),"")</f>
        <v/>
      </c>
      <c r="AF23" s="50" t="str">
        <f>IFERROR(__xludf.DUMMYFUNCTION("SPARKLINE(AF22,{""charttype"",""bar"";""max"",1;""min"",0;""color1"",IF(AF22&gt;0.7,""green"",IF(AF22&gt;0.5,""yellow"",""red""))})"),"")</f>
        <v/>
      </c>
    </row>
    <row r="24">
      <c r="A24" s="127"/>
      <c r="B24" s="100" t="s">
        <v>3</v>
      </c>
      <c r="C24" s="101" t="str">
        <f t="shared" ref="C24:I24" si="15">CHOOSE(WEEKDAY(C23,2),"Mon","Tue","Wed","Thu","Fri","Sat","Sun")</f>
        <v>Mon</v>
      </c>
      <c r="D24" s="101" t="str">
        <f t="shared" si="15"/>
        <v>Tue</v>
      </c>
      <c r="E24" s="101" t="str">
        <f t="shared" si="15"/>
        <v>Wed</v>
      </c>
      <c r="F24" s="101" t="str">
        <f t="shared" si="15"/>
        <v>Thu</v>
      </c>
      <c r="G24" s="101" t="str">
        <f t="shared" si="15"/>
        <v>Fri</v>
      </c>
      <c r="H24" s="101" t="str">
        <f t="shared" si="15"/>
        <v>Sat</v>
      </c>
      <c r="I24" s="102" t="str">
        <f t="shared" si="15"/>
        <v>Sun</v>
      </c>
      <c r="J24" s="21"/>
      <c r="K24" s="140" t="s">
        <v>3</v>
      </c>
      <c r="L24" s="101" t="str">
        <f t="shared" ref="L24:R24" si="16">CHOOSE(WEEKDAY(L23,2),"Mon","Tue","Wed","Thu","Fri","Sat","Sun")</f>
        <v>Mon</v>
      </c>
      <c r="M24" s="101" t="str">
        <f t="shared" si="16"/>
        <v>Tue</v>
      </c>
      <c r="N24" s="101" t="str">
        <f t="shared" si="16"/>
        <v>Wed</v>
      </c>
      <c r="O24" s="101" t="str">
        <f t="shared" si="16"/>
        <v>Thu</v>
      </c>
      <c r="P24" s="101" t="str">
        <f t="shared" si="16"/>
        <v>Fri</v>
      </c>
      <c r="Q24" s="101" t="str">
        <f t="shared" si="16"/>
        <v>Sat</v>
      </c>
      <c r="R24" s="102" t="str">
        <f t="shared" si="16"/>
        <v>Sun</v>
      </c>
      <c r="T24" s="82" t="s">
        <v>6</v>
      </c>
      <c r="U24" s="26" t="b">
        <v>0</v>
      </c>
      <c r="V24" s="26" t="b">
        <v>0</v>
      </c>
      <c r="W24" s="32" t="b">
        <v>0</v>
      </c>
      <c r="Y24" s="90" t="s">
        <v>48</v>
      </c>
      <c r="Z24" s="53" t="str">
        <f>IFERROR(__xludf.DUMMYFUNCTION("SPARKLINE((SUM(Z22:AF22)+3*W34)/10,{""charttype"",""bar"";""max"",1;""min"",0;""color1"",IF((SUM(Z22:AF22)+3*W34)/10&gt;0.7,""green"",IF((SUM(Z22:AF22)+3*W34)/10&gt;0.5,""yellow"",""red""))})"),"")</f>
        <v/>
      </c>
      <c r="AA24" s="54"/>
      <c r="AB24" s="54"/>
      <c r="AC24" s="54"/>
      <c r="AD24" s="54"/>
      <c r="AE24" s="54"/>
      <c r="AF24" s="41"/>
    </row>
    <row r="25">
      <c r="A25" s="127"/>
      <c r="B25" s="82" t="str">
        <f t="shared" ref="B25:B36" si="17">B7</f>
        <v>Exercise</v>
      </c>
      <c r="C25" s="26" t="b">
        <v>0</v>
      </c>
      <c r="D25" s="26" t="b">
        <v>0</v>
      </c>
      <c r="E25" s="26" t="b">
        <v>0</v>
      </c>
      <c r="F25" s="28" t="b">
        <v>0</v>
      </c>
      <c r="G25" s="27" t="b">
        <v>0</v>
      </c>
      <c r="H25" s="26" t="b">
        <v>0</v>
      </c>
      <c r="I25" s="29" t="b">
        <v>0</v>
      </c>
      <c r="J25" s="30"/>
      <c r="K25" s="81" t="str">
        <f t="shared" ref="K25:K35" si="18">B7</f>
        <v>Exercise</v>
      </c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0</v>
      </c>
      <c r="R25" s="29" t="b">
        <v>0</v>
      </c>
      <c r="T25" s="82" t="s">
        <v>8</v>
      </c>
      <c r="U25" s="26" t="b">
        <v>0</v>
      </c>
      <c r="V25" s="26" t="b">
        <v>0</v>
      </c>
      <c r="W25" s="32" t="b">
        <v>0</v>
      </c>
      <c r="Z25" s="138"/>
      <c r="AA25" s="138"/>
      <c r="AB25" s="138"/>
      <c r="AC25" s="138"/>
      <c r="AD25" s="138"/>
      <c r="AE25" s="138"/>
      <c r="AF25" s="138"/>
      <c r="AG25" s="144"/>
    </row>
    <row r="26">
      <c r="A26" s="127"/>
      <c r="B26" s="82" t="str">
        <f t="shared" si="17"/>
        <v>Stretch/Yoga (&gt;20min)</v>
      </c>
      <c r="C26" s="26" t="b">
        <v>0</v>
      </c>
      <c r="D26" s="26" t="b">
        <v>0</v>
      </c>
      <c r="E26" s="27" t="b">
        <v>0</v>
      </c>
      <c r="F26" s="26" t="b">
        <v>0</v>
      </c>
      <c r="G26" s="26" t="b">
        <v>0</v>
      </c>
      <c r="H26" s="27" t="b">
        <v>0</v>
      </c>
      <c r="I26" s="32" t="b">
        <v>0</v>
      </c>
      <c r="J26" s="30"/>
      <c r="K26" s="81" t="str">
        <f t="shared" si="18"/>
        <v>Stretch/Yoga (&gt;20min)</v>
      </c>
      <c r="L26" s="26" t="b">
        <v>0</v>
      </c>
      <c r="M26" s="26" t="b">
        <v>0</v>
      </c>
      <c r="N26" s="26" t="b">
        <v>0</v>
      </c>
      <c r="O26" s="26" t="b">
        <v>0</v>
      </c>
      <c r="P26" s="26" t="b">
        <v>0</v>
      </c>
      <c r="Q26" s="26" t="b">
        <v>0</v>
      </c>
      <c r="R26" s="29" t="b">
        <v>0</v>
      </c>
      <c r="T26" s="82" t="s">
        <v>10</v>
      </c>
      <c r="U26" s="26" t="b">
        <v>0</v>
      </c>
      <c r="V26" s="26" t="b">
        <v>0</v>
      </c>
      <c r="W26" s="32" t="b">
        <v>0</v>
      </c>
      <c r="Y26" s="40" t="s">
        <v>25</v>
      </c>
      <c r="Z26" s="41"/>
      <c r="AF26" s="133"/>
      <c r="AG26" s="133"/>
    </row>
    <row r="27">
      <c r="A27" s="127"/>
      <c r="B27" s="82" t="str">
        <f t="shared" si="17"/>
        <v>Social Media (&lt;limit)</v>
      </c>
      <c r="C27" s="26" t="b">
        <v>0</v>
      </c>
      <c r="D27" s="26" t="b">
        <v>0</v>
      </c>
      <c r="E27" s="26" t="b">
        <v>0</v>
      </c>
      <c r="F27" s="28" t="b">
        <v>0</v>
      </c>
      <c r="G27" s="26" t="b">
        <v>0</v>
      </c>
      <c r="H27" s="26" t="b">
        <v>0</v>
      </c>
      <c r="I27" s="32" t="b">
        <v>0</v>
      </c>
      <c r="J27" s="30"/>
      <c r="K27" s="81" t="str">
        <f t="shared" si="18"/>
        <v>Social Media (&lt;limit)</v>
      </c>
      <c r="L27" s="26" t="b">
        <v>0</v>
      </c>
      <c r="M27" s="26" t="b">
        <v>0</v>
      </c>
      <c r="N27" s="26" t="b">
        <v>0</v>
      </c>
      <c r="O27" s="26" t="b">
        <v>0</v>
      </c>
      <c r="P27" s="26" t="b">
        <v>0</v>
      </c>
      <c r="Q27" s="26" t="b">
        <v>0</v>
      </c>
      <c r="R27" s="32" t="b">
        <v>0</v>
      </c>
      <c r="T27" s="82" t="s">
        <v>12</v>
      </c>
      <c r="U27" s="26" t="b">
        <v>0</v>
      </c>
      <c r="V27" s="26" t="b">
        <v>0</v>
      </c>
      <c r="W27" s="32" t="b">
        <v>0</v>
      </c>
      <c r="Y27" s="82" t="s">
        <v>28</v>
      </c>
      <c r="Z27" s="32" t="b">
        <v>0</v>
      </c>
      <c r="AF27" s="133"/>
      <c r="AG27" s="133"/>
    </row>
    <row r="28">
      <c r="A28" s="127"/>
      <c r="B28" s="82" t="str">
        <f t="shared" si="17"/>
        <v>Eat in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32" t="b">
        <v>0</v>
      </c>
      <c r="J28" s="30"/>
      <c r="K28" s="81" t="str">
        <f t="shared" si="18"/>
        <v>Eat in</v>
      </c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32" t="b">
        <v>0</v>
      </c>
      <c r="T28" s="82" t="s">
        <v>14</v>
      </c>
      <c r="U28" s="26" t="b">
        <v>0</v>
      </c>
      <c r="V28" s="26" t="b">
        <v>0</v>
      </c>
      <c r="W28" s="32" t="b">
        <v>0</v>
      </c>
      <c r="Y28" s="82" t="s">
        <v>47</v>
      </c>
      <c r="Z28" s="32" t="b">
        <v>0</v>
      </c>
      <c r="AF28" s="133"/>
      <c r="AG28" s="133"/>
    </row>
    <row r="29">
      <c r="A29" s="132"/>
      <c r="B29" s="95" t="str">
        <f t="shared" si="17"/>
        <v>Review Budget/Goals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32" t="b">
        <v>0</v>
      </c>
      <c r="J29" s="30"/>
      <c r="K29" s="95" t="str">
        <f t="shared" si="18"/>
        <v>Review Budget/Goals</v>
      </c>
      <c r="L29" s="26" t="b">
        <v>0</v>
      </c>
      <c r="M29" s="26" t="b">
        <v>0</v>
      </c>
      <c r="N29" s="26" t="b">
        <v>0</v>
      </c>
      <c r="O29" s="26" t="b">
        <v>0</v>
      </c>
      <c r="P29" s="26" t="b">
        <v>0</v>
      </c>
      <c r="Q29" s="26" t="b">
        <v>0</v>
      </c>
      <c r="R29" s="32" t="b">
        <v>0</v>
      </c>
      <c r="T29" s="82" t="s">
        <v>16</v>
      </c>
      <c r="U29" s="26" t="b">
        <v>0</v>
      </c>
      <c r="V29" s="26" t="b">
        <v>0</v>
      </c>
      <c r="W29" s="32" t="b">
        <v>0</v>
      </c>
      <c r="Y29" s="82" t="s">
        <v>30</v>
      </c>
      <c r="Z29" s="32" t="b">
        <v>0</v>
      </c>
      <c r="AF29" s="133"/>
      <c r="AG29" s="133"/>
    </row>
    <row r="30">
      <c r="A30" s="127"/>
      <c r="B30" s="82" t="str">
        <f t="shared" si="17"/>
        <v>(2x)Brush+(1x)Floss</v>
      </c>
      <c r="C30" s="26" t="b">
        <v>0</v>
      </c>
      <c r="D30" s="26" t="b">
        <v>0</v>
      </c>
      <c r="E30" s="26" t="b">
        <v>0</v>
      </c>
      <c r="F30" s="26" t="b">
        <v>0</v>
      </c>
      <c r="G30" s="27" t="b">
        <v>0</v>
      </c>
      <c r="H30" s="26" t="b">
        <v>0</v>
      </c>
      <c r="I30" s="32" t="b">
        <v>0</v>
      </c>
      <c r="J30" s="30"/>
      <c r="K30" s="81" t="str">
        <f t="shared" si="18"/>
        <v>(2x)Brush+(1x)Floss</v>
      </c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9" t="b">
        <v>0</v>
      </c>
      <c r="T30" s="82" t="s">
        <v>18</v>
      </c>
      <c r="U30" s="26" t="b">
        <v>0</v>
      </c>
      <c r="V30" s="26" t="b">
        <v>0</v>
      </c>
      <c r="W30" s="32" t="b">
        <v>0</v>
      </c>
      <c r="Y30" s="82" t="s">
        <v>32</v>
      </c>
      <c r="Z30" s="32" t="b">
        <v>0</v>
      </c>
      <c r="AF30" s="133"/>
      <c r="AG30" s="133"/>
    </row>
    <row r="31">
      <c r="A31" s="127"/>
      <c r="B31" s="82" t="str">
        <f t="shared" si="17"/>
        <v>Water (3L)</v>
      </c>
      <c r="C31" s="26" t="b">
        <v>0</v>
      </c>
      <c r="D31" s="26" t="b">
        <v>0</v>
      </c>
      <c r="E31" s="26" t="b">
        <v>0</v>
      </c>
      <c r="F31" s="26" t="b">
        <v>0</v>
      </c>
      <c r="G31" s="27" t="b">
        <v>0</v>
      </c>
      <c r="H31" s="26" t="b">
        <v>0</v>
      </c>
      <c r="I31" s="32" t="b">
        <v>0</v>
      </c>
      <c r="J31" s="30"/>
      <c r="K31" s="81" t="str">
        <f t="shared" si="18"/>
        <v>Water (3L)</v>
      </c>
      <c r="L31" s="26" t="b">
        <v>0</v>
      </c>
      <c r="M31" s="26" t="b">
        <v>0</v>
      </c>
      <c r="N31" s="26" t="b">
        <v>0</v>
      </c>
      <c r="O31" s="26" t="b">
        <v>0</v>
      </c>
      <c r="P31" s="26" t="b">
        <v>0</v>
      </c>
      <c r="Q31" s="26" t="b">
        <v>0</v>
      </c>
      <c r="R31" s="29" t="b">
        <v>0</v>
      </c>
      <c r="T31" s="82" t="s">
        <v>20</v>
      </c>
      <c r="U31" s="26" t="b">
        <v>0</v>
      </c>
      <c r="V31" s="26" t="b">
        <v>0</v>
      </c>
      <c r="W31" s="32" t="b">
        <v>0</v>
      </c>
      <c r="Y31" s="85" t="s">
        <v>34</v>
      </c>
      <c r="Z31" s="32" t="b">
        <v>0</v>
      </c>
      <c r="AF31" s="145"/>
      <c r="AG31" s="145"/>
    </row>
    <row r="32">
      <c r="A32" s="127"/>
      <c r="B32" s="82" t="str">
        <f t="shared" si="17"/>
        <v>7 hours sleep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32" t="b">
        <v>0</v>
      </c>
      <c r="J32" s="30"/>
      <c r="K32" s="81" t="str">
        <f t="shared" si="18"/>
        <v>7 hours sleep</v>
      </c>
      <c r="L32" s="26" t="b">
        <v>0</v>
      </c>
      <c r="M32" s="26" t="b">
        <v>0</v>
      </c>
      <c r="N32" s="26" t="b">
        <v>0</v>
      </c>
      <c r="O32" s="26" t="b">
        <v>0</v>
      </c>
      <c r="P32" s="26" t="b">
        <v>0</v>
      </c>
      <c r="Q32" s="26" t="b">
        <v>0</v>
      </c>
      <c r="R32" s="32" t="b">
        <v>0</v>
      </c>
      <c r="T32" s="82" t="s">
        <v>22</v>
      </c>
      <c r="U32" s="26" t="b">
        <v>0</v>
      </c>
      <c r="V32" s="26" t="b">
        <v>0</v>
      </c>
      <c r="W32" s="32" t="b">
        <v>0</v>
      </c>
      <c r="Y32" s="91" t="s">
        <v>27</v>
      </c>
      <c r="Z32" s="92">
        <f>COUNTIF(Z27:Z31,True)/COUNTA(Z27:Z31)</f>
        <v>0</v>
      </c>
      <c r="AF32" s="71"/>
      <c r="AG32" s="71"/>
    </row>
    <row r="33">
      <c r="A33" s="127"/>
      <c r="B33" s="82" t="str">
        <f t="shared" si="17"/>
        <v>Clean (~20 min)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32" t="b">
        <v>0</v>
      </c>
      <c r="J33" s="30"/>
      <c r="K33" s="81" t="str">
        <f t="shared" si="18"/>
        <v>Clean (~20 min)</v>
      </c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0</v>
      </c>
      <c r="Q33" s="26" t="b">
        <v>0</v>
      </c>
      <c r="R33" s="32" t="b">
        <v>0</v>
      </c>
      <c r="T33" s="85" t="s">
        <v>24</v>
      </c>
      <c r="U33" s="38" t="b">
        <v>0</v>
      </c>
      <c r="V33" s="38" t="b">
        <v>0</v>
      </c>
      <c r="W33" s="32" t="b">
        <v>0</v>
      </c>
      <c r="Y33" s="90" t="s">
        <v>29</v>
      </c>
      <c r="Z33" s="50" t="str">
        <f>IFERROR(__xludf.DUMMYFUNCTION("SPARKLINE(Z32,{""charttype"",""bar"";""max"",1;""min"",0;""color1"",IF(Z32&gt;0.7,""green"",IF(Z32&gt;0.5,""yellow"",""red""))})"),"")</f>
        <v/>
      </c>
    </row>
    <row r="34">
      <c r="A34" s="127"/>
      <c r="B34" s="82" t="str">
        <f t="shared" si="17"/>
        <v>Read (~20 min)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32" t="b">
        <v>0</v>
      </c>
      <c r="J34" s="30"/>
      <c r="K34" s="81" t="str">
        <f t="shared" si="18"/>
        <v>Read (~20 min)</v>
      </c>
      <c r="L34" s="26" t="b">
        <v>0</v>
      </c>
      <c r="M34" s="26" t="b">
        <v>0</v>
      </c>
      <c r="N34" s="26" t="b">
        <v>0</v>
      </c>
      <c r="O34" s="26" t="b">
        <v>0</v>
      </c>
      <c r="P34" s="26" t="b">
        <v>0</v>
      </c>
      <c r="Q34" s="26" t="b">
        <v>0</v>
      </c>
      <c r="R34" s="32" t="b">
        <v>0</v>
      </c>
      <c r="T34" s="88" t="s">
        <v>27</v>
      </c>
      <c r="U34" s="68">
        <f t="shared" ref="U34:W34" si="19">COUNTIF(U24:U33,True)/COUNTA(U24:U33)</f>
        <v>0</v>
      </c>
      <c r="V34" s="68">
        <f t="shared" si="19"/>
        <v>0</v>
      </c>
      <c r="W34" s="146">
        <f t="shared" si="19"/>
        <v>0</v>
      </c>
    </row>
    <row r="35">
      <c r="A35" s="133"/>
      <c r="B35" s="81" t="str">
        <f t="shared" si="17"/>
        <v>Vitamins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32" t="b">
        <v>0</v>
      </c>
      <c r="J35" s="30"/>
      <c r="K35" s="81" t="str">
        <f t="shared" si="18"/>
        <v>Vitamins</v>
      </c>
      <c r="L35" s="26" t="b">
        <v>0</v>
      </c>
      <c r="M35" s="26" t="b">
        <v>0</v>
      </c>
      <c r="N35" s="26" t="b">
        <v>0</v>
      </c>
      <c r="O35" s="26" t="b">
        <v>0</v>
      </c>
      <c r="P35" s="26" t="b">
        <v>0</v>
      </c>
      <c r="Q35" s="26" t="b">
        <v>0</v>
      </c>
      <c r="R35" s="32" t="b">
        <v>0</v>
      </c>
      <c r="T35" s="88"/>
      <c r="U35" s="68" t="str">
        <f>IFERROR(__xludf.DUMMYFUNCTION("SPARKLINE(U34,{""charttype"",""bar"";""max"",1;""min"",0;""color1"",IF(U34&gt;0.7,""green"",IF(U34&gt;0.5,""yellow"",""red""))})"),"")</f>
        <v/>
      </c>
      <c r="V35" s="68" t="str">
        <f>IFERROR(__xludf.DUMMYFUNCTION("SPARKLINE(V34,{""charttype"",""bar"";""max"",1;""min"",0;""color1"",IF(V34&gt;0.7,""green"",IF(V34&gt;0.5,""yellow"",""red""))})"),"")</f>
        <v/>
      </c>
      <c r="W35" s="69" t="str">
        <f>IFERROR(__xludf.DUMMYFUNCTION("SPARKLINE(W34,{""charttype"",""bar"";""max"",1;""min"",0;""color1"",IF(W34&gt;0.7,""green"",IF(W34&gt;0.5,""yellow"",""red""))})"),"")</f>
        <v/>
      </c>
    </row>
    <row r="36">
      <c r="A36" s="133"/>
      <c r="B36" s="86" t="str">
        <f t="shared" si="17"/>
        <v>Duolingo</v>
      </c>
      <c r="C36" s="38" t="b">
        <v>0</v>
      </c>
      <c r="D36" s="38" t="b">
        <v>0</v>
      </c>
      <c r="E36" s="67" t="b">
        <v>0</v>
      </c>
      <c r="F36" s="67" t="b">
        <v>0</v>
      </c>
      <c r="G36" s="38" t="b">
        <v>0</v>
      </c>
      <c r="H36" s="38" t="b">
        <v>0</v>
      </c>
      <c r="I36" s="39" t="b">
        <v>0</v>
      </c>
      <c r="J36" s="30"/>
      <c r="K36" s="81" t="str">
        <f>B36</f>
        <v>Duolingo</v>
      </c>
      <c r="L36" s="26" t="b">
        <v>0</v>
      </c>
      <c r="M36" s="26" t="b">
        <v>0</v>
      </c>
      <c r="N36" s="26" t="b">
        <v>0</v>
      </c>
      <c r="O36" s="26" t="b">
        <v>0</v>
      </c>
      <c r="P36" s="26" t="b">
        <v>0</v>
      </c>
      <c r="Q36" s="26" t="b">
        <v>0</v>
      </c>
      <c r="R36" s="29" t="b">
        <v>0</v>
      </c>
      <c r="T36" s="90" t="s">
        <v>29</v>
      </c>
      <c r="U36" s="49" t="str">
        <f>IFERROR(__xludf.DUMMYFUNCTION("SPARKLINE((U34+V34+W34)/3,{""charttype"",""bar"";""max"",1;""min"",0;""color1"",IF((U34+V34+W34)/3&gt;0.7,""green"",IF((U34+V34+W34)/3&gt;0.5,""yellow"",""red""))})"),"")</f>
        <v/>
      </c>
      <c r="V36" s="54"/>
      <c r="W36" s="41"/>
    </row>
    <row r="37">
      <c r="A37" s="127"/>
      <c r="B37" s="88" t="s">
        <v>27</v>
      </c>
      <c r="C37" s="44">
        <f t="shared" ref="C37:I37" si="20">COUNTIF(C25:C36,True)/COUNTA(C25:C36)</f>
        <v>0</v>
      </c>
      <c r="D37" s="44">
        <f t="shared" si="20"/>
        <v>0</v>
      </c>
      <c r="E37" s="44">
        <f t="shared" si="20"/>
        <v>0</v>
      </c>
      <c r="F37" s="44">
        <f t="shared" si="20"/>
        <v>0</v>
      </c>
      <c r="G37" s="44">
        <f t="shared" si="20"/>
        <v>0</v>
      </c>
      <c r="H37" s="44">
        <f t="shared" si="20"/>
        <v>0</v>
      </c>
      <c r="I37" s="45">
        <f t="shared" si="20"/>
        <v>0</v>
      </c>
      <c r="J37" s="21"/>
      <c r="K37" s="134" t="s">
        <v>27</v>
      </c>
      <c r="L37" s="135">
        <f t="shared" ref="L37:R37" si="21">COUNTIF(L25:L36,True)/COUNTA(L25:L36)</f>
        <v>0</v>
      </c>
      <c r="M37" s="135">
        <f t="shared" si="21"/>
        <v>0</v>
      </c>
      <c r="N37" s="135">
        <f t="shared" si="21"/>
        <v>0</v>
      </c>
      <c r="O37" s="135">
        <f t="shared" si="21"/>
        <v>0</v>
      </c>
      <c r="P37" s="135">
        <f t="shared" si="21"/>
        <v>0</v>
      </c>
      <c r="Q37" s="135">
        <f t="shared" si="21"/>
        <v>0</v>
      </c>
      <c r="R37" s="135">
        <f t="shared" si="21"/>
        <v>0</v>
      </c>
    </row>
    <row r="38">
      <c r="A38" s="70"/>
      <c r="B38" s="90" t="s">
        <v>29</v>
      </c>
      <c r="C38" s="49" t="str">
        <f>IFERROR(__xludf.DUMMYFUNCTION("SPARKLINE(C37,{""charttype"",""bar"";""max"",1;""min"",0;""color1"",IF(C37&gt;0.7,""green"",IF(C37&gt;0.5,""yellow"",""red""))})"),"")</f>
        <v/>
      </c>
      <c r="D38" s="49" t="str">
        <f>IFERROR(__xludf.DUMMYFUNCTION("SPARKLINE(D37,{""charttype"",""bar"";""max"",1;""min"",0;""color1"",IF(D37&gt;0.7,""green"",IF(D37&gt;0.5,""yellow"",""red""))})"),"")</f>
        <v/>
      </c>
      <c r="E38" s="49" t="str">
        <f>IFERROR(__xludf.DUMMYFUNCTION("SPARKLINE(E37,{""charttype"",""bar"";""max"",1;""min"",0;""color1"",IF(E37&gt;0.7,""green"",IF(E37&gt;0.5,""yellow"",""red""))})"),"")</f>
        <v/>
      </c>
      <c r="F38" s="49" t="str">
        <f>IFERROR(__xludf.DUMMYFUNCTION("SPARKLINE(F37,{""charttype"",""bar"";""max"",1;""min"",0;""color1"",IF(F37&gt;0.7,""green"",IF(F37&gt;0.5,""yellow"",""red""))})"),"")</f>
        <v/>
      </c>
      <c r="G38" s="49" t="str">
        <f>IFERROR(__xludf.DUMMYFUNCTION("SPARKLINE(G37,{""charttype"",""bar"";""max"",1;""min"",0;""color1"",IF(G37&gt;0.7,""green"",IF(G37&gt;0.5,""yellow"",""red""))})"),"")</f>
        <v/>
      </c>
      <c r="H38" s="49" t="str">
        <f>IFERROR(__xludf.DUMMYFUNCTION("SPARKLINE(H37,{""charttype"",""bar"";""max"",1;""min"",0;""color1"",IF(H37&gt;0.7,""green"",IF(H37&gt;0.5,""yellow"",""red""))})"),"")</f>
        <v/>
      </c>
      <c r="I38" s="50" t="str">
        <f>IFERROR(__xludf.DUMMYFUNCTION("SPARKLINE(I37,{""charttype"",""bar"";""max"",1;""min"",0;""color1"",IF(I37&gt;0.7,""green"",IF(I37&gt;0.5,""yellow"",""red""))})"),"")</f>
        <v/>
      </c>
      <c r="K38" s="90" t="s">
        <v>29</v>
      </c>
      <c r="L38" s="49" t="str">
        <f>IFERROR(__xludf.DUMMYFUNCTION("SPARKLINE(L37,{""charttype"",""bar"";""max"",1;""min"",0;""color1"",IF(L37&gt;0.7,""green"",IF(L37&gt;0.5,""yellow"",""red""))})"),"")</f>
        <v/>
      </c>
      <c r="M38" s="49" t="str">
        <f>IFERROR(__xludf.DUMMYFUNCTION("SPARKLINE(M37,{""charttype"",""bar"";""max"",1;""min"",0;""color1"",IF(M37&gt;0.7,""green"",IF(M37&gt;0.5,""yellow"",""red""))})"),"")</f>
        <v/>
      </c>
      <c r="N38" s="49" t="str">
        <f>IFERROR(__xludf.DUMMYFUNCTION("SPARKLINE(N37,{""charttype"",""bar"";""max"",1;""min"",0;""color1"",IF(N37&gt;0.7,""green"",IF(N37&gt;0.5,""yellow"",""red""))})"),"")</f>
        <v/>
      </c>
      <c r="O38" s="49" t="str">
        <f>IFERROR(__xludf.DUMMYFUNCTION("SPARKLINE(O37,{""charttype"",""bar"";""max"",1;""min"",0;""color1"",IF(O37&gt;0.7,""green"",IF(O37&gt;0.5,""yellow"",""red""))})"),"")</f>
        <v/>
      </c>
      <c r="P38" s="49" t="str">
        <f>IFERROR(__xludf.DUMMYFUNCTION("SPARKLINE(P37,{""charttype"",""bar"";""max"",1;""min"",0;""color1"",IF(P37&gt;0.7,""green"",IF(P37&gt;0.5,""yellow"",""red""))})"),"")</f>
        <v/>
      </c>
      <c r="Q38" s="49" t="str">
        <f>IFERROR(__xludf.DUMMYFUNCTION("SPARKLINE(Q37,{""charttype"",""bar"";""max"",1;""min"",0;""color1"",IF(Q37&gt;0.7,""green"",IF(Q37&gt;0.5,""yellow"",""red""))})"),"")</f>
        <v/>
      </c>
      <c r="R38" s="50" t="str">
        <f>IFERROR(__xludf.DUMMYFUNCTION("SPARKLINE(R37,{""charttype"",""bar"";""max"",1;""min"",0;""color1"",IF(R37&gt;0.7,""green"",IF(R37&gt;0.5,""yellow"",""red""))})"),"")</f>
        <v/>
      </c>
    </row>
    <row r="39">
      <c r="A39" s="70"/>
      <c r="B39" s="90" t="s">
        <v>48</v>
      </c>
      <c r="C39" s="53" t="str">
        <f>IFERROR(__xludf.DUMMYFUNCTION("SPARKLINE((SUM(C37:I37)+3*U34)/10,{""charttype"",""bar"";""max"",1;""min"",0;""color1"",IF((SUM(C37:I37)+3*U34)/10&gt;0.7,""green"",IF((SUM(C37:I37)+3*U34)/10&gt;0.5,""yellow"",""red""))})"),"")</f>
        <v/>
      </c>
      <c r="D39" s="54"/>
      <c r="E39" s="54"/>
      <c r="F39" s="54"/>
      <c r="G39" s="54"/>
      <c r="H39" s="54"/>
      <c r="I39" s="41"/>
      <c r="K39" s="90" t="s">
        <v>48</v>
      </c>
      <c r="L39" s="53" t="str">
        <f>IFERROR(__xludf.DUMMYFUNCTION("SPARKLINE((SUM(L37:R37)+3*V34)/10,{""charttype"",""bar"";""max"",1;""min"",0;""color1"",IF((SUM(L37:R37)+3*V34)/10&gt;0.7,""green"",IF((SUM(L37:R37)+3*V34)/10&gt;0.5,""yellow"",""red""))})"),"")</f>
        <v/>
      </c>
      <c r="M39" s="54"/>
      <c r="N39" s="54"/>
      <c r="O39" s="54"/>
      <c r="P39" s="54"/>
      <c r="Q39" s="54"/>
      <c r="R39" s="41"/>
    </row>
    <row r="40">
      <c r="A40" s="56"/>
    </row>
    <row r="41">
      <c r="A41" s="56"/>
    </row>
    <row r="56">
      <c r="N56" s="56"/>
      <c r="O56" s="56"/>
      <c r="P56" s="56"/>
      <c r="Q56" s="56"/>
      <c r="R56" s="56"/>
    </row>
    <row r="57">
      <c r="N57" s="56"/>
      <c r="O57" s="56"/>
      <c r="P57" s="56"/>
      <c r="Q57" s="56"/>
      <c r="R57" s="56"/>
    </row>
    <row r="58">
      <c r="N58" s="56"/>
      <c r="O58" s="56"/>
      <c r="P58" s="56"/>
      <c r="Q58" s="56"/>
      <c r="R58" s="56"/>
    </row>
    <row r="59">
      <c r="N59" s="56"/>
      <c r="O59" s="70"/>
      <c r="P59" s="71"/>
      <c r="Q59" s="71"/>
      <c r="R59" s="56"/>
    </row>
    <row r="60">
      <c r="N60" s="56"/>
      <c r="O60" s="56"/>
      <c r="P60" s="56"/>
      <c r="Q60" s="56"/>
      <c r="R60" s="56"/>
    </row>
    <row r="61">
      <c r="N61" s="56"/>
      <c r="O61" s="56"/>
      <c r="P61" s="56"/>
      <c r="Q61" s="56"/>
      <c r="R61" s="56"/>
    </row>
    <row r="62">
      <c r="N62" s="56"/>
      <c r="O62" s="56"/>
      <c r="P62" s="56"/>
      <c r="Q62" s="56"/>
      <c r="R62" s="56"/>
    </row>
    <row r="63">
      <c r="N63" s="56"/>
      <c r="O63" s="56"/>
      <c r="P63" s="56"/>
      <c r="Q63" s="56"/>
      <c r="R63" s="56"/>
    </row>
  </sheetData>
  <mergeCells count="10">
    <mergeCell ref="U36:W36"/>
    <mergeCell ref="C39:I39"/>
    <mergeCell ref="L39:R39"/>
    <mergeCell ref="D2:R3"/>
    <mergeCell ref="S2:S3"/>
    <mergeCell ref="C21:I21"/>
    <mergeCell ref="L21:R21"/>
    <mergeCell ref="U21:V21"/>
    <mergeCell ref="Z24:AF24"/>
    <mergeCell ref="Y26:Z26"/>
  </mergeCells>
  <conditionalFormatting sqref="S1:S2">
    <cfRule type="cellIs" dxfId="6" priority="1" operator="between">
      <formula>0</formula>
      <formula>0.05</formula>
    </cfRule>
  </conditionalFormatting>
  <conditionalFormatting sqref="S1:S2">
    <cfRule type="cellIs" dxfId="1" priority="2" operator="between">
      <formula>0.05</formula>
      <formula>0.25</formula>
    </cfRule>
  </conditionalFormatting>
  <conditionalFormatting sqref="U14:V21 C19:I19 L19:R19 AG20:AG21 Z22:AF22 U34:W35 C37:I37 L37:R37">
    <cfRule type="cellIs" dxfId="1" priority="3" operator="between">
      <formula>0.1</formula>
      <formula>0.25</formula>
    </cfRule>
  </conditionalFormatting>
  <conditionalFormatting sqref="S1:S2 U18:V18 C19:I19 L19:R19 AG20:AG21 Z22:AF22 U34:W35 C37:I37 L37:R37">
    <cfRule type="cellIs" dxfId="0" priority="4" operator="between">
      <formula>0.251</formula>
      <formula>0.5</formula>
    </cfRule>
  </conditionalFormatting>
  <conditionalFormatting sqref="U18:V18 C19:I19 L19:R19 AG20:AG21 Z22:AF22 U34:W35 C37:I37 L37:R37">
    <cfRule type="cellIs" dxfId="2" priority="5" operator="between">
      <formula>0.51</formula>
      <formula>0.7</formula>
    </cfRule>
  </conditionalFormatting>
  <conditionalFormatting sqref="S1:S2 U18:V18 C19:I19 L19:R19 AG20:AG21 Z22:AF22 U34:W35 C37:I37 L37:R37">
    <cfRule type="cellIs" dxfId="3" priority="6" operator="between">
      <formula>0.71</formula>
      <formula>0.99</formula>
    </cfRule>
  </conditionalFormatting>
  <conditionalFormatting sqref="U5:V19 C7:I18 L7:R18 AE9:AG22 Z10:AD21 U23:V36 W23:W35 C25:I36 L25:R36 AE37:AG48">
    <cfRule type="cellIs" dxfId="3" priority="7" operator="equal">
      <formula>"TRUE"</formula>
    </cfRule>
  </conditionalFormatting>
  <conditionalFormatting sqref="U5:V18 AC9:AD22">
    <cfRule type="cellIs" dxfId="3" priority="8" operator="equal">
      <formula>"TRUE"</formula>
    </cfRule>
  </conditionalFormatting>
  <conditionalFormatting sqref="AC14:AD14 U15:V15">
    <cfRule type="cellIs" dxfId="1" priority="9" operator="between">
      <formula>0.1</formula>
      <formula>0.25</formula>
    </cfRule>
  </conditionalFormatting>
  <conditionalFormatting sqref="U12:V13 AG14 U15:V21 U28:W28">
    <cfRule type="cellIs" dxfId="0" priority="10" operator="between">
      <formula>0.26</formula>
      <formula>0.5</formula>
    </cfRule>
  </conditionalFormatting>
  <conditionalFormatting sqref="S1:S2 U11:V21 AG14 AG20:AG21 U28:W28 U34:W35">
    <cfRule type="cellIs" dxfId="2" priority="11" operator="between">
      <formula>0.51</formula>
      <formula>0.75</formula>
    </cfRule>
  </conditionalFormatting>
  <conditionalFormatting sqref="U11:V21 AG14 AG20:AG21 U28:W28 U34:W35">
    <cfRule type="cellIs" dxfId="4" priority="12" operator="between">
      <formula>0.76</formula>
      <formula>0.99</formula>
    </cfRule>
  </conditionalFormatting>
  <conditionalFormatting sqref="S1:S2 U14:V21 C19:I19 L19:R19 AG20:AG21 Z22:AF22 U34:W35 C37:I37 L37:R37">
    <cfRule type="cellIs" dxfId="5" priority="13" operator="greaterThanOrEqual">
      <formula>1</formula>
    </cfRule>
  </conditionalFormatting>
  <conditionalFormatting sqref="Z27:Z31">
    <cfRule type="cellIs" dxfId="3" priority="14" operator="equal">
      <formula>"TRUE"</formula>
    </cfRule>
  </conditionalFormatting>
  <drawing r:id="rId1"/>
</worksheet>
</file>